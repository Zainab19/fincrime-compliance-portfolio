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OneDrive\Desktop\Job App\"/>
    </mc:Choice>
  </mc:AlternateContent>
  <xr:revisionPtr revIDLastSave="0" documentId="13_ncr:1_{16913C8F-7E2A-4503-BE89-85D831B1638F}" xr6:coauthVersionLast="47" xr6:coauthVersionMax="47" xr10:uidLastSave="{00000000-0000-0000-0000-000000000000}"/>
  <bookViews>
    <workbookView xWindow="-108" yWindow="-108" windowWidth="23256" windowHeight="12456" tabRatio="500" activeTab="2" xr2:uid="{00000000-000D-0000-FFFF-FFFF00000000}"/>
  </bookViews>
  <sheets>
    <sheet name="KYC Risk Scoring" sheetId="1" r:id="rId1"/>
    <sheet name="AML Transaction Monitoring" sheetId="2" r:id="rId2"/>
    <sheet name="Sanctions &amp; PEP Screening" sheetId="3" r:id="rId3"/>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I12" i="2" l="1"/>
  <c r="I13" i="2"/>
  <c r="I14" i="2"/>
  <c r="J14" i="2" s="1"/>
  <c r="I15" i="2"/>
  <c r="J15" i="2" s="1"/>
  <c r="I16" i="2"/>
  <c r="I17" i="2"/>
  <c r="I18" i="2"/>
  <c r="J18" i="2" s="1"/>
  <c r="I19" i="2"/>
  <c r="J19" i="2" s="1"/>
  <c r="I20" i="2"/>
  <c r="I11" i="2"/>
  <c r="J11" i="2" s="1"/>
  <c r="J12" i="2"/>
  <c r="J13" i="2"/>
  <c r="J16" i="2"/>
  <c r="J17" i="2"/>
  <c r="J20" i="2"/>
  <c r="C28" i="3"/>
  <c r="C27" i="3"/>
  <c r="C26" i="3"/>
  <c r="C25" i="3"/>
  <c r="C24" i="3"/>
  <c r="C23" i="3"/>
  <c r="C28" i="2"/>
  <c r="C27" i="2"/>
  <c r="C26" i="2"/>
  <c r="C25" i="2"/>
  <c r="C24" i="2"/>
  <c r="C23" i="2"/>
  <c r="G22" i="1"/>
  <c r="F22" i="1"/>
  <c r="E24" i="1" s="1"/>
  <c r="G21" i="1"/>
  <c r="F21" i="1"/>
  <c r="G20" i="1"/>
  <c r="F20" i="1"/>
  <c r="G19" i="1"/>
  <c r="F19" i="1"/>
  <c r="G18" i="1"/>
  <c r="F18" i="1"/>
  <c r="G17" i="1"/>
  <c r="F17" i="1"/>
  <c r="G16" i="1"/>
  <c r="F16" i="1"/>
  <c r="G15" i="1"/>
  <c r="F15" i="1"/>
  <c r="G14" i="1"/>
  <c r="F14" i="1"/>
  <c r="G13" i="1"/>
  <c r="F13" i="1"/>
  <c r="G12" i="1"/>
  <c r="F12" i="1"/>
  <c r="G11" i="1"/>
  <c r="F11" i="1"/>
  <c r="G10" i="1"/>
  <c r="F10" i="1"/>
  <c r="G9" i="1"/>
  <c r="F9" i="1"/>
  <c r="G8" i="1"/>
  <c r="F8" i="1"/>
</calcChain>
</file>

<file path=xl/sharedStrings.xml><?xml version="1.0" encoding="utf-8"?>
<sst xmlns="http://schemas.openxmlformats.org/spreadsheetml/2006/main" count="289" uniqueCount="238">
  <si>
    <t>KYC CUSTOMER RISK SCORING MODEL</t>
  </si>
  <si>
    <t>Customer Due Diligence — Risk-Based Approach (FATF Recommendation 10)</t>
  </si>
  <si>
    <t>▸  HOW TO USE:</t>
  </si>
  <si>
    <t>Enter scores (1–5) in yellow cells. The model auto-calculates weighted risk and assigns Low / Medium / High / Very High.</t>
  </si>
  <si>
    <t>RISK CATEGORY</t>
  </si>
  <si>
    <t>RISK FACTOR</t>
  </si>
  <si>
    <t>WEIGHT</t>
  </si>
  <si>
    <t>SCORE (1-5)</t>
  </si>
  <si>
    <t>WEIGHTED SCORE</t>
  </si>
  <si>
    <t>MAX POSSIBLE</t>
  </si>
  <si>
    <t>GUIDANCE</t>
  </si>
  <si>
    <t>Customer Type</t>
  </si>
  <si>
    <t>Individual vs Legal Entity</t>
  </si>
  <si>
    <t>1=Natural person; 3=Company; 5=Complex structure</t>
  </si>
  <si>
    <t>PEP Status</t>
  </si>
  <si>
    <t>1=No PEP; 3=Close associate; 5=Direct PEP</t>
  </si>
  <si>
    <t>Adverse Media</t>
  </si>
  <si>
    <t>1=None; 3=Minor; 5=Significant negative media</t>
  </si>
  <si>
    <t>Geography</t>
  </si>
  <si>
    <t>Country of Residence</t>
  </si>
  <si>
    <t>1=Low-risk FATF country; 5=High-risk/sanctions listed</t>
  </si>
  <si>
    <t>Country of Business Operations</t>
  </si>
  <si>
    <t>1=Transparent jurisdiction; 5=Secrecy jurisdiction</t>
  </si>
  <si>
    <t>Nationality</t>
  </si>
  <si>
    <t>1=FATF compliant; 5=FATF blacklisted country</t>
  </si>
  <si>
    <t>Products &amp; Services</t>
  </si>
  <si>
    <t>Product/Service Type</t>
  </si>
  <si>
    <t>1=Basic savings; 3=Trade finance; 5=Private banking</t>
  </si>
  <si>
    <t>Delivery Channel</t>
  </si>
  <si>
    <t>1=Branch face-to-face; 3=Online; 5=Third-party intermediary</t>
  </si>
  <si>
    <t>Transaction</t>
  </si>
  <si>
    <t>Expected Transaction Volume</t>
  </si>
  <si>
    <t>1=Low (&lt;$10K/mo); 3=Medium; 5=High (&gt;$500K/mo)</t>
  </si>
  <si>
    <t>Cash Intensity</t>
  </si>
  <si>
    <t>1=Non-cash; 3=Occasional cash; 5=Primarily cash</t>
  </si>
  <si>
    <t>Cross-border Activity</t>
  </si>
  <si>
    <t>1=Domestic only; 3=Some intl; 5=Primarily cross-border</t>
  </si>
  <si>
    <t>Business/Source</t>
  </si>
  <si>
    <t>Source of Funds Clarity</t>
  </si>
  <si>
    <t>1=Verified payslip/accounts; 5=Unverified/unclear</t>
  </si>
  <si>
    <t>Source of Wealth Clarity</t>
  </si>
  <si>
    <t>1=Clear documented wealth; 5=Cannot be explained</t>
  </si>
  <si>
    <t>Industry / Business Type</t>
  </si>
  <si>
    <t>1=Low-risk salaried; 3=Self-employed; 5=High-risk industry</t>
  </si>
  <si>
    <t>TOTAL WEIGHTED RISK SCORE</t>
  </si>
  <si>
    <t>▸  RISK RATING</t>
  </si>
  <si>
    <t>← Auto-calculated from score above</t>
  </si>
  <si>
    <t>RISK SCALE REFERENCE</t>
  </si>
  <si>
    <t>&lt; 1.0</t>
  </si>
  <si>
    <t>LOW</t>
  </si>
  <si>
    <t>Standard CDD — Basic ID verification</t>
  </si>
  <si>
    <t>1.0 – 2.0</t>
  </si>
  <si>
    <t>MEDIUM</t>
  </si>
  <si>
    <t>Enhanced monitoring — Annual review</t>
  </si>
  <si>
    <t>2.0 – 3.0</t>
  </si>
  <si>
    <t>HIGH</t>
  </si>
  <si>
    <t>EDD required — Quarterly review, source of funds proof</t>
  </si>
  <si>
    <t>&gt; 3.0</t>
  </si>
  <si>
    <t>VERY HIGH</t>
  </si>
  <si>
    <t>Senior approval or rejection — SAR consideration</t>
  </si>
  <si>
    <t>AML TRANSACTION MONITORING — ALERT TRIAGE LOG</t>
  </si>
  <si>
    <t>Simulated rule-based alert triage | Rules: Structuring · Velocity · Round-Amount · Unusual Geography</t>
  </si>
  <si>
    <t>MONITORING RULES IN USE</t>
  </si>
  <si>
    <t>RULE 1</t>
  </si>
  <si>
    <t>STRUCTURING</t>
  </si>
  <si>
    <t>Transaction ≥ $8,000 and &lt; $10,000 (just-below-threshold pattern)</t>
  </si>
  <si>
    <t>RULE 2</t>
  </si>
  <si>
    <t>HIGH VALUE</t>
  </si>
  <si>
    <t>Single transaction &gt; $50,000 from retail/individual customer</t>
  </si>
  <si>
    <t>RULE 3</t>
  </si>
  <si>
    <t>ROUND AMOUNT</t>
  </si>
  <si>
    <t>Transaction is exact round number ≥ $5,000 (e.g. $10,000.00)</t>
  </si>
  <si>
    <t>RULE 4</t>
  </si>
  <si>
    <t>VELOCITY</t>
  </si>
  <si>
    <t>Calculated separately — see Velocity tab</t>
  </si>
  <si>
    <t>#</t>
  </si>
  <si>
    <t>TXN ID</t>
  </si>
  <si>
    <t>CUSTOMER NAME</t>
  </si>
  <si>
    <t>TXN DATE</t>
  </si>
  <si>
    <t>AMOUNT (USD)</t>
  </si>
  <si>
    <t>TXN TYPE</t>
  </si>
  <si>
    <t>CHANNEL</t>
  </si>
  <si>
    <t>RULE TRIGGERED</t>
  </si>
  <si>
    <t>ALERT PRIORITY</t>
  </si>
  <si>
    <t>ANALYST DISPOSITION</t>
  </si>
  <si>
    <t>NOTES / RED FLAGS</t>
  </si>
  <si>
    <t>TXN-001</t>
  </si>
  <si>
    <t>Mohammed Al-Rashid</t>
  </si>
  <si>
    <t>2024-01-05</t>
  </si>
  <si>
    <t>Cash Deposit</t>
  </si>
  <si>
    <t>Branch</t>
  </si>
  <si>
    <t>SAR Filed</t>
  </si>
  <si>
    <t>TXN-002</t>
  </si>
  <si>
    <t>Sarah Chen</t>
  </si>
  <si>
    <t>2024-01-06</t>
  </si>
  <si>
    <t>Wire Transfer</t>
  </si>
  <si>
    <t>Online</t>
  </si>
  <si>
    <t>Escalated to EDD</t>
  </si>
  <si>
    <t>TXN-003</t>
  </si>
  <si>
    <t>Rajesh Gupta</t>
  </si>
  <si>
    <t>2024-01-07</t>
  </si>
  <si>
    <t>Cash Withdrawal</t>
  </si>
  <si>
    <t>ATM</t>
  </si>
  <si>
    <t>Closed — False Positive</t>
  </si>
  <si>
    <t>TXN-004</t>
  </si>
  <si>
    <t>Elena Volkov</t>
  </si>
  <si>
    <t>2024-01-08</t>
  </si>
  <si>
    <t>TXN-005</t>
  </si>
  <si>
    <t>James Okonkwo</t>
  </si>
  <si>
    <t>2024-01-09</t>
  </si>
  <si>
    <t>Under Review</t>
  </si>
  <si>
    <t>TXN-006</t>
  </si>
  <si>
    <t>Maria Fernandez</t>
  </si>
  <si>
    <t>2024-01-10</t>
  </si>
  <si>
    <t>TXN-007</t>
  </si>
  <si>
    <t>David Kim</t>
  </si>
  <si>
    <t>2024-01-11</t>
  </si>
  <si>
    <t>$200K wire to offshore account; no business explanation provided</t>
  </si>
  <si>
    <t>TXN-008</t>
  </si>
  <si>
    <t>Amara Diallo</t>
  </si>
  <si>
    <t>2024-01-12</t>
  </si>
  <si>
    <t>Debit Purchase</t>
  </si>
  <si>
    <t>Closed — No Alert</t>
  </si>
  <si>
    <t>TXN-009</t>
  </si>
  <si>
    <t>Li Wei</t>
  </si>
  <si>
    <t>2024-01-13</t>
  </si>
  <si>
    <t>TXN-010</t>
  </si>
  <si>
    <t>Fatima Al-Hassan</t>
  </si>
  <si>
    <t>2024-01-14</t>
  </si>
  <si>
    <t>Total Transactions Reviewed</t>
  </si>
  <si>
    <t>Alerts Generated (non-None)</t>
  </si>
  <si>
    <t>SARs Filed</t>
  </si>
  <si>
    <t>False Positives Closed</t>
  </si>
  <si>
    <t>Still Under Review</t>
  </si>
  <si>
    <t>SAR Rate %</t>
  </si>
  <si>
    <t>SANCTIONS &amp; PEP SCREENING LOG</t>
  </si>
  <si>
    <t>Watchlist Screening Simulation | OFAC SDN · UN Consolidated · EU Sanctions · PEP Databases</t>
  </si>
  <si>
    <t>SCREENING METHODOLOGY</t>
  </si>
  <si>
    <t>Match Score</t>
  </si>
  <si>
    <t>False Positive Test</t>
  </si>
  <si>
    <t>Key skill: Can you DISTINGUISH a true match from a false positive? Document your reasoning.</t>
  </si>
  <si>
    <t>Lists Screened</t>
  </si>
  <si>
    <t>OFAC SDN List · UN SC Consolidated List · EU Financial Sanctions · FATF High-Risk Jurisdictions · PEP Database</t>
  </si>
  <si>
    <t>Action Required</t>
  </si>
  <si>
    <t>True Match → Freeze &amp; Report | Possible Match → Enhanced Review | False Positive → Document &amp; Clear</t>
  </si>
  <si>
    <t>DATE OF BIRTH</t>
  </si>
  <si>
    <t>NATIONALITY</t>
  </si>
  <si>
    <t>MATCH NAME ON LIST</t>
  </si>
  <si>
    <t>LIST SCREENED</t>
  </si>
  <si>
    <t>MATCH SCORE %</t>
  </si>
  <si>
    <t>MATCH TYPE</t>
  </si>
  <si>
    <t>ANALYST DETERMINATION</t>
  </si>
  <si>
    <t>REASONING</t>
  </si>
  <si>
    <t>ACTION TAKEN</t>
  </si>
  <si>
    <t>Omar Al-Bashir</t>
  </si>
  <si>
    <t>1944-01-01</t>
  </si>
  <si>
    <t>Sudanese</t>
  </si>
  <si>
    <t>Omar Hassan Al-Bashir</t>
  </si>
  <si>
    <t>OFAC SDN / ICC</t>
  </si>
  <si>
    <t>Name + DOB Match</t>
  </si>
  <si>
    <t>TRUE MATCH</t>
  </si>
  <si>
    <t>Same name, DOB, nationality — exact profile match to OFAC entry</t>
  </si>
  <si>
    <t>Freeze account; File SAR; Notify MLRO immediately</t>
  </si>
  <si>
    <t>1985-03-15</t>
  </si>
  <si>
    <t>Saudi</t>
  </si>
  <si>
    <t>Mohammed Rashid Al-Fahd</t>
  </si>
  <si>
    <t>OFAC SDN</t>
  </si>
  <si>
    <t>Name Partial</t>
  </si>
  <si>
    <t>FALSE POSITIVE</t>
  </si>
  <si>
    <t>Different middle/last name construction; DOB mismatch by 12 years; different nationality</t>
  </si>
  <si>
    <t>Clear with documentation; note common Arabic name pattern</t>
  </si>
  <si>
    <t>Viktor Petrov</t>
  </si>
  <si>
    <t>1972-09-22</t>
  </si>
  <si>
    <t>Russian</t>
  </si>
  <si>
    <t>Viktor Alexandr Petrov</t>
  </si>
  <si>
    <t>EU Sanctions</t>
  </si>
  <si>
    <t>Strong Name Match</t>
  </si>
  <si>
    <t>POSSIBLE MATCH</t>
  </si>
  <si>
    <t>High name match; DOB unknown on list; Russian national — refer to EDD</t>
  </si>
  <si>
    <t>Escalate to MLRO; request additional ID; cross-check address</t>
  </si>
  <si>
    <t>1990-05-10</t>
  </si>
  <si>
    <t>Chinese</t>
  </si>
  <si>
    <t>UN Consolidated</t>
  </si>
  <si>
    <t>Common Name</t>
  </si>
  <si>
    <t>Li Wei is among top 10 most common Chinese names; different sector; no other matching attributes</t>
  </si>
  <si>
    <t>Clear; document common name rationale; flag for periodic re-screening</t>
  </si>
  <si>
    <t>Emeka Okafor</t>
  </si>
  <si>
    <t>1968-11-30</t>
  </si>
  <si>
    <t>Nigerian</t>
  </si>
  <si>
    <t>Emeka Okafor-Nwosu</t>
  </si>
  <si>
    <t>Similar name; PEP database shows subject as former govt official; occupation matches</t>
  </si>
  <si>
    <t>Request PEP declaration; enhanced CDD; 6-month review cycle</t>
  </si>
  <si>
    <t>1980-02-14</t>
  </si>
  <si>
    <t>Iraqi</t>
  </si>
  <si>
    <t>Fatima Hussain Al-Hassan</t>
  </si>
  <si>
    <t>Strong Match</t>
  </si>
  <si>
    <t>DOB and country of birth match exactly; name variation consistent with transliteration</t>
  </si>
  <si>
    <t>Account frozen; reported to FinCEN; compliance team notified</t>
  </si>
  <si>
    <t>Ivan Petrov</t>
  </si>
  <si>
    <t>1955-07-04</t>
  </si>
  <si>
    <t>Ivan Sergeyevich Petrov</t>
  </si>
  <si>
    <t>Name Only</t>
  </si>
  <si>
    <t>Very common Russian name; significant DOB discrepancy (15 yrs); different city of origin</t>
  </si>
  <si>
    <t>Clear with documentation; flagged as recurring common-name false positive pattern</t>
  </si>
  <si>
    <t>Ana Lima</t>
  </si>
  <si>
    <t>1993-08-20</t>
  </si>
  <si>
    <t>Brazilian</t>
  </si>
  <si>
    <t>PEP Database</t>
  </si>
  <si>
    <t>Ana Lima is extremely common Brazilian name; no other corroborating factors; student account</t>
  </si>
  <si>
    <t>Clear; document; no further action</t>
  </si>
  <si>
    <t>Rustam Nazarov</t>
  </si>
  <si>
    <t>1961-12-01</t>
  </si>
  <si>
    <t>Uzbek</t>
  </si>
  <si>
    <t>Name + Nationality</t>
  </si>
  <si>
    <t>Strong name hit; same nationality; DOB not on record; referred for verification</t>
  </si>
  <si>
    <t>Request passport; cross-check against full SDN profile; hold account pending review</t>
  </si>
  <si>
    <t>Zhang Wei</t>
  </si>
  <si>
    <t>1978-04-18</t>
  </si>
  <si>
    <t>Zhang Wei is one of the most common names in China (est. 290,000 people); no other matching factors</t>
  </si>
  <si>
    <t>Clear; document common name; recommend automated exception rule for common names</t>
  </si>
  <si>
    <t>Total Customers Screened</t>
  </si>
  <si>
    <t>True Matches</t>
  </si>
  <si>
    <t>Possible Matches — EDD</t>
  </si>
  <si>
    <t>False Positives Cleared</t>
  </si>
  <si>
    <t>False Positive Rate %</t>
  </si>
  <si>
    <t>Avg Match Score (all cases)</t>
  </si>
  <si>
    <t>Third cash deposit just below $10K threshold this month. Pattern is consistent with deliberate structuring to avoid CTR reporting requirement. No business justification provided. SAR filed with FIU-IND. Account flagged for enhanced monitoring.</t>
  </si>
  <si>
    <t>Customer rated Low Risk at onboarding. $75,000 wire to beneficiary with no prior transaction history — inconsistent with customer's established profile. Customer contacted for source of funds explanation. EDD initiated pending response. Review due in 14 days.</t>
  </si>
  <si>
    <t>$8,999 deposit — $1 below CTR threshold, strongly indicative of deliberate avoidance. Second sub-$10K cash deposit in 5 days. The $1 margin suggests specific knowledge of reporting thresholds. Prior transaction (TXN-001 equivalent) also reviewed. SAR filed. Account referred to MLRO for potential account closure review.</t>
  </si>
  <si>
    <t>Cash deposit below CTR threshold — structuring alert. Secondary screening identified possible name match on OFAC SDN List (match score 78%). Dual red flags: structuring pattern AND potential sanctions exposure. Account frozen pending sanctions team review. SAR filed independently of sanctions investigation. MLRO and Compliance Officer notified immediately.</t>
  </si>
  <si>
    <t>SAR Filed + Sanctions Referral</t>
  </si>
  <si>
    <t>Escalated to Senior / MLRO</t>
  </si>
  <si>
    <t>$9,100 cash deposit — below CTR threshold. Transaction history review reveals this is the 4th cash deposit this week, split across Branch A and Branch B. Classic smurfing pattern — deliberately distributing deposits across locations to avoid detection at a single point. Cross-branch data pull confirms cumulative cash deposits of $36,400 this week. SAR filed covering all four transactions. Both branch managers notified.</t>
  </si>
  <si>
    <t>Round amount alert triggered at $10,000. Transaction reviewed against 6-month history — customer makes identical $10,000 ATM withdrawal on the 1st of each month, consistent with salary receipt date. Pattern is fully explained by known income source. No further action. Alert closed. False positive noted for rule calibration review.</t>
  </si>
  <si>
    <t>Round amount alert on $5,000 cash deposit. Customer is a registered used car dealer — cash-intensive business with documented history of cash receipts. Business account statements requested to verify cash deposit is consistent with trading activity. Preliminary assessment suggests false positive. Final disposition pending document review. Expected closure within 7 days.</t>
  </si>
  <si>
    <t>$15,000 cash deposit — round amount and above CTR filing threshold. CTR filed as per regulatory requirement (mandatory, separate from this alert). EDD initiated because source of funds for $15,000 cash cannot be verified from existing customer file. Customer contacted to provide documentation — payslip, business invoice, or equivalent. EDD review period: 21 days. If source of funds unverified by deadline, case to be escalated to MLRO.</t>
  </si>
  <si>
    <t>$1,500 debit purchase via online channel. No monitoring rules triggered. Transaction consistent with customer's regular spending pattern. No action required.</t>
  </si>
  <si>
    <t>Fuzzy name-match score (0–100%). ≥85% = True Match; 60–84% = Possible Match; &lt;60% = No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</si>
</sst>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
    <numFmt numFmtId="166" formatCode="0.0%"/>
  </numFmts>
  <fonts count="28" x14ac:knownFonts="1">
    <font>
      <sz val="11"/>
      <color theme="1"/>
      <name val="Calibri"/>
      <family val="2"/>
      <charset val="1"/>
    </font>
    <font>
      <b/>
      <sz val="16"/>
      <color rgb="FFC8A84B"/>
      <name val="Arial"/>
      <charset val="1"/>
    </font>
    <font>
      <i/>
      <sz val="10"/>
      <color rgb="FFD6E4F7"/>
      <name val="Arial"/>
      <charset val="1"/>
    </font>
    <font>
      <b/>
      <sz val="10"/>
      <color rgb="FFC8A84B"/>
      <name val="Arial"/>
      <charset val="1"/>
    </font>
    <font>
      <i/>
      <sz val="9"/>
      <color rgb="FFD6E4F7"/>
      <name val="Arial"/>
      <charset val="1"/>
    </font>
    <font>
      <b/>
      <sz val="9"/>
      <color rgb="FFFFFFFF"/>
      <name val="Arial"/>
      <charset val="1"/>
    </font>
    <font>
      <b/>
      <sz val="9"/>
      <color rgb="FF1F3D6B"/>
      <name val="Arial"/>
      <charset val="1"/>
    </font>
    <font>
      <sz val="9"/>
      <color rgb="FF000000"/>
      <name val="Arial"/>
      <charset val="1"/>
    </font>
    <font>
      <b/>
      <sz val="10"/>
      <color rgb="FF00008B"/>
      <name val="Arial"/>
      <charset val="1"/>
    </font>
    <font>
      <sz val="9"/>
      <color rgb="FF6B7280"/>
      <name val="Arial"/>
      <charset val="1"/>
    </font>
    <font>
      <i/>
      <sz val="8"/>
      <color rgb="FF6B7280"/>
      <name val="Arial"/>
      <charset val="1"/>
    </font>
    <font>
      <b/>
      <sz val="10"/>
      <color rgb="FFFFFFFF"/>
      <name val="Arial"/>
      <charset val="1"/>
    </font>
    <font>
      <b/>
      <sz val="12"/>
      <color rgb="FFC8A84B"/>
      <name val="Arial"/>
      <charset val="1"/>
    </font>
    <font>
      <b/>
      <sz val="11"/>
      <color rgb="FFFFFFFF"/>
      <name val="Arial"/>
      <charset val="1"/>
    </font>
    <font>
      <b/>
      <sz val="11"/>
      <color rgb="FF000000"/>
      <name val="Arial"/>
      <charset val="1"/>
    </font>
    <font>
      <b/>
      <sz val="9"/>
      <color rgb="FF1E8449"/>
      <name val="Arial"/>
      <charset val="1"/>
    </font>
    <font>
      <b/>
      <sz val="9"/>
      <color rgb="FFE67E22"/>
      <name val="Arial"/>
      <charset val="1"/>
    </font>
    <font>
      <b/>
      <sz val="9"/>
      <color rgb="FFC0392B"/>
      <name val="Arial"/>
      <charset val="1"/>
    </font>
    <font>
      <b/>
      <sz val="9"/>
      <color rgb="FF7B241C"/>
      <name val="Arial"/>
      <charset val="1"/>
    </font>
    <font>
      <i/>
      <sz val="9"/>
      <color rgb="FF000000"/>
      <name val="Arial"/>
      <charset val="1"/>
    </font>
    <font>
      <b/>
      <sz val="9"/>
      <color rgb="FF7D6608"/>
      <name val="Arial"/>
      <charset val="1"/>
    </font>
    <font>
      <b/>
      <sz val="9"/>
      <color rgb="FF1A5276"/>
      <name val="Arial"/>
      <charset val="1"/>
    </font>
    <font>
      <b/>
      <sz val="9"/>
      <color rgb="FF1D6A39"/>
      <name val="Arial"/>
      <charset val="1"/>
    </font>
    <font>
      <b/>
      <sz val="9"/>
      <color rgb="FF6B7280"/>
      <name val="Arial"/>
      <charset val="1"/>
    </font>
    <font>
      <b/>
      <sz val="9"/>
      <color rgb="FF000000"/>
      <name val="Arial"/>
      <charset val="1"/>
    </font>
    <font>
      <sz val="8"/>
      <color rgb="FF000000"/>
      <name val="Arial"/>
      <charset val="1"/>
    </font>
    <font>
      <b/>
      <sz val="10"/>
      <color rgb="FF1F3D6B"/>
      <name val="Arial"/>
      <charset val="1"/>
    </font>
    <font>
      <i/>
      <sz val="9"/>
      <color rgb="FF6B7280"/>
      <name val="Arial"/>
      <family val="2"/>
    </font>
  </fonts>
  <fills count="18">
    <fill>
      <patternFill patternType="none"/>
    </fill>
    <fill>
      <patternFill patternType="gray125"/>
    </fill>
    <fill>
      <patternFill patternType="solid">
        <fgColor rgb="FF1B2A4A"/>
        <bgColor rgb="FF1F3D6B"/>
      </patternFill>
    </fill>
    <fill>
      <patternFill patternType="solid">
        <fgColor rgb="FF1F3D6B"/>
        <bgColor rgb="FF1A5276"/>
      </patternFill>
    </fill>
    <fill>
      <patternFill patternType="solid">
        <fgColor rgb="FFC8A84B"/>
        <bgColor rgb="FFE67E22"/>
      </patternFill>
    </fill>
    <fill>
      <patternFill patternType="solid">
        <fgColor rgb="FF2E5FA3"/>
        <bgColor rgb="FF1A5276"/>
      </patternFill>
    </fill>
    <fill>
      <patternFill patternType="solid">
        <fgColor rgb="FFEAF0FB"/>
        <bgColor rgb="FFF4ECF7"/>
      </patternFill>
    </fill>
    <fill>
      <patternFill patternType="solid">
        <fgColor rgb="FFD6E4F7"/>
        <bgColor rgb="FFEAF0FB"/>
      </patternFill>
    </fill>
    <fill>
      <patternFill patternType="solid">
        <fgColor rgb="FFFFFDE7"/>
        <bgColor rgb="FFFEF9E7"/>
      </patternFill>
    </fill>
    <fill>
      <patternFill patternType="solid">
        <fgColor rgb="FFF5F7FA"/>
        <bgColor rgb="FFEAF0FB"/>
      </patternFill>
    </fill>
    <fill>
      <patternFill patternType="solid">
        <fgColor rgb="FFE8F4E8"/>
        <bgColor rgb="FFEAF0FB"/>
      </patternFill>
    </fill>
    <fill>
      <patternFill patternType="solid">
        <fgColor rgb="FFFEF9E7"/>
        <bgColor rgb="FFFFFDE7"/>
      </patternFill>
    </fill>
    <fill>
      <patternFill patternType="solid">
        <fgColor rgb="FFFDEDEC"/>
        <bgColor rgb="FFF4ECF7"/>
      </patternFill>
    </fill>
    <fill>
      <patternFill patternType="solid">
        <fgColor rgb="FFF4ECF7"/>
        <bgColor rgb="FFFDEDEC"/>
      </patternFill>
    </fill>
    <fill>
      <patternFill patternType="solid">
        <fgColor rgb="FFD5F5E3"/>
        <bgColor rgb="FFE8F4E8"/>
      </patternFill>
    </fill>
    <fill>
      <patternFill patternType="solid">
        <fgColor rgb="FFFDEBD0"/>
        <bgColor rgb="FFFDEDEC"/>
      </patternFill>
    </fill>
    <fill>
      <patternFill patternType="solid">
        <fgColor rgb="FFFADBD8"/>
        <bgColor rgb="FFFDEBD0"/>
      </patternFill>
    </fill>
    <fill>
      <patternFill patternType="solid">
        <fgColor rgb="FFFFFFFF"/>
        <bgColor rgb="FFFFFDE7"/>
      </patternFill>
    </fill>
  </fills>
  <borders count="4">
    <border>
      <left/>
      <right/>
      <top/>
      <bottom/>
      <diagonal/>
    </border>
    <border>
      <left style="thin">
        <color rgb="FFB0B8C5"/>
      </left>
      <right style="thin">
        <color rgb="FFB0B8C5"/>
      </right>
      <top style="thin">
        <color rgb="FFB0B8C5"/>
      </top>
      <bottom style="thin">
        <color rgb="FFB0B8C5"/>
      </bottom>
      <diagonal/>
    </border>
    <border>
      <left style="medium">
        <color rgb="FFC8A84B"/>
      </left>
      <right style="medium">
        <color rgb="FFC8A84B"/>
      </right>
      <top style="thin">
        <color rgb="FFC8A84B"/>
      </top>
      <bottom style="thin">
        <color rgb="FFC8A84B"/>
      </bottom>
      <diagonal/>
    </border>
    <border>
      <left style="thin">
        <color rgb="FFB0B8C5"/>
      </left>
      <right/>
      <top style="thin">
        <color rgb="FFB0B8C5"/>
      </top>
      <bottom style="thin">
        <color rgb="FFB0B8C5"/>
      </bottom>
      <diagonal/>
    </border>
  </borders>
  <cellStyleXfs count="1">
    <xf numFmtId="0" fontId="0" fillId="0" borderId="0"/>
  </cellStyleXfs>
  <cellXfs count="84">
    <xf numFmtId="0" fontId="0" fillId="0" borderId="0" xfId="0"/>
    <xf numFmtId="0" fontId="7" fillId="15" borderId="3" xfId="0" applyFont="1" applyFill="1" applyBorder="1" applyAlignment="1">
      <alignment horizontal="left" vertical="center" wrapText="1"/>
    </xf>
    <xf numFmtId="0" fontId="16" fillId="15" borderId="3" xfId="0" applyFont="1" applyFill="1" applyBorder="1" applyAlignment="1">
      <alignment horizontal="center" vertical="center" wrapText="1"/>
    </xf>
    <xf numFmtId="0" fontId="7" fillId="14" borderId="3" xfId="0" applyFont="1" applyFill="1" applyBorder="1" applyAlignment="1">
      <alignment horizontal="left" vertical="center" wrapText="1"/>
    </xf>
    <xf numFmtId="0" fontId="15" fillId="14" borderId="3" xfId="0" applyFont="1" applyFill="1" applyBorder="1" applyAlignment="1">
      <alignment horizontal="center" vertical="center" wrapText="1"/>
    </xf>
    <xf numFmtId="0" fontId="5" fillId="5" borderId="0" xfId="0" applyFont="1" applyFill="1" applyAlignment="1">
      <alignment horizontal="center" vertical="center" wrapText="1"/>
    </xf>
    <xf numFmtId="0" fontId="14" fillId="0" borderId="3" xfId="0" applyFont="1" applyBorder="1" applyAlignment="1">
      <alignment horizontal="center" vertical="center" wrapText="1"/>
    </xf>
    <xf numFmtId="0" fontId="13" fillId="3" borderId="3" xfId="0" applyFont="1" applyFill="1" applyBorder="1" applyAlignment="1">
      <alignment horizontal="center" vertical="center" wrapText="1"/>
    </xf>
    <xf numFmtId="0" fontId="11" fillId="3" borderId="3" xfId="0" applyFont="1" applyFill="1" applyBorder="1" applyAlignment="1">
      <alignment horizontal="center" vertical="center" wrapText="1"/>
    </xf>
    <xf numFmtId="0" fontId="4" fillId="3" borderId="0" xfId="0" applyFont="1" applyFill="1" applyAlignment="1">
      <alignment horizontal="left" vertical="center" wrapText="1"/>
    </xf>
    <xf numFmtId="0" fontId="3" fillId="3" borderId="0" xfId="0" applyFont="1" applyFill="1" applyAlignment="1">
      <alignment horizontal="left" vertical="center" wrapText="1"/>
    </xf>
    <xf numFmtId="0" fontId="0" fillId="2" borderId="0" xfId="0" applyFill="1"/>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0" fillId="2" borderId="0" xfId="0" applyFill="1"/>
    <xf numFmtId="0" fontId="0" fillId="4" borderId="0" xfId="0" applyFill="1"/>
    <xf numFmtId="0" fontId="5" fillId="5" borderId="1" xfId="0" applyFont="1" applyFill="1" applyBorder="1" applyAlignment="1">
      <alignment horizontal="center" vertical="center" wrapText="1"/>
    </xf>
    <xf numFmtId="0" fontId="0" fillId="6" borderId="1" xfId="0" applyFill="1" applyBorder="1"/>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9" fontId="6" fillId="7" borderId="1" xfId="0" applyNumberFormat="1" applyFont="1" applyFill="1" applyBorder="1" applyAlignment="1">
      <alignment horizontal="center" vertical="center" wrapText="1"/>
    </xf>
    <xf numFmtId="0" fontId="8" fillId="8" borderId="2" xfId="0" applyFont="1" applyFill="1" applyBorder="1" applyAlignment="1">
      <alignment horizontal="center" vertical="center" wrapText="1"/>
    </xf>
    <xf numFmtId="164" fontId="7" fillId="9" borderId="1" xfId="0" applyNumberFormat="1" applyFont="1" applyFill="1" applyBorder="1" applyAlignment="1">
      <alignment horizontal="center" vertical="center" wrapText="1"/>
    </xf>
    <xf numFmtId="164" fontId="9" fillId="9" borderId="1" xfId="0" applyNumberFormat="1" applyFont="1" applyFill="1" applyBorder="1" applyAlignment="1">
      <alignment horizontal="center" vertical="center" wrapText="1"/>
    </xf>
    <xf numFmtId="0" fontId="10" fillId="6" borderId="1" xfId="0" applyFont="1" applyFill="1" applyBorder="1" applyAlignment="1">
      <alignment horizontal="left" vertical="center" wrapText="1"/>
    </xf>
    <xf numFmtId="0" fontId="0" fillId="10" borderId="1" xfId="0" applyFill="1" applyBorder="1"/>
    <xf numFmtId="0" fontId="6" fillId="10"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0" fillId="11" borderId="1" xfId="0" applyFill="1" applyBorder="1"/>
    <xf numFmtId="0" fontId="6" fillId="11"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10" fillId="11" borderId="1" xfId="0" applyFont="1" applyFill="1" applyBorder="1" applyAlignment="1">
      <alignment horizontal="left" vertical="center" wrapText="1"/>
    </xf>
    <xf numFmtId="0" fontId="0" fillId="12" borderId="1" xfId="0" applyFill="1" applyBorder="1"/>
    <xf numFmtId="0" fontId="6" fillId="12"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10" fillId="12" borderId="1" xfId="0" applyFont="1" applyFill="1" applyBorder="1" applyAlignment="1">
      <alignment horizontal="left" vertical="center" wrapText="1"/>
    </xf>
    <xf numFmtId="0" fontId="0" fillId="13" borderId="1" xfId="0" applyFill="1" applyBorder="1"/>
    <xf numFmtId="0" fontId="6" fillId="13"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10" fillId="13" borderId="1" xfId="0" applyFont="1" applyFill="1" applyBorder="1" applyAlignment="1">
      <alignment horizontal="left" vertical="center" wrapText="1"/>
    </xf>
    <xf numFmtId="164" fontId="12"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7" fillId="16" borderId="1" xfId="0" applyFont="1" applyFill="1" applyBorder="1" applyAlignment="1">
      <alignment horizontal="center" vertical="center" wrapText="1"/>
    </xf>
    <xf numFmtId="0" fontId="18" fillId="16"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left" vertical="center" wrapText="1"/>
    </xf>
    <xf numFmtId="0" fontId="20" fillId="9" borderId="1" xfId="0" applyFont="1" applyFill="1" applyBorder="1" applyAlignment="1">
      <alignment horizontal="center" vertical="center" wrapText="1"/>
    </xf>
    <xf numFmtId="0" fontId="20" fillId="9" borderId="1" xfId="0" applyFont="1" applyFill="1" applyBorder="1" applyAlignment="1">
      <alignment horizontal="left" vertical="center" wrapText="1"/>
    </xf>
    <xf numFmtId="0" fontId="21" fillId="9" borderId="1" xfId="0" applyFont="1" applyFill="1" applyBorder="1" applyAlignment="1">
      <alignment horizontal="center" vertical="center" wrapText="1"/>
    </xf>
    <xf numFmtId="0" fontId="21" fillId="9" borderId="1" xfId="0" applyFont="1" applyFill="1" applyBorder="1" applyAlignment="1">
      <alignment horizontal="left" vertical="center" wrapText="1"/>
    </xf>
    <xf numFmtId="0" fontId="22" fillId="9" borderId="1" xfId="0" applyFont="1" applyFill="1" applyBorder="1" applyAlignment="1">
      <alignment horizontal="center" vertical="center" wrapText="1"/>
    </xf>
    <xf numFmtId="0" fontId="22" fillId="9" borderId="1"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7" fillId="17" borderId="1" xfId="0" applyFont="1" applyFill="1" applyBorder="1" applyAlignment="1">
      <alignment horizontal="left" vertical="center" wrapText="1"/>
    </xf>
    <xf numFmtId="165" fontId="24" fillId="0" borderId="1" xfId="0" applyNumberFormat="1" applyFont="1" applyBorder="1" applyAlignment="1">
      <alignment horizontal="center" vertical="center" wrapText="1"/>
    </xf>
    <xf numFmtId="0" fontId="25"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7" fillId="0" borderId="1" xfId="0" applyFont="1" applyBorder="1" applyAlignment="1">
      <alignment horizontal="left" vertical="center" wrapText="1"/>
    </xf>
    <xf numFmtId="0" fontId="7" fillId="9"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26" fillId="17" borderId="1" xfId="0" applyFont="1" applyFill="1" applyBorder="1" applyAlignment="1">
      <alignment horizontal="center" vertical="center" wrapText="1"/>
    </xf>
    <xf numFmtId="166" fontId="26" fillId="17" borderId="1" xfId="0" applyNumberFormat="1" applyFont="1" applyFill="1" applyBorder="1" applyAlignment="1">
      <alignment horizontal="center" vertical="center" wrapText="1"/>
    </xf>
    <xf numFmtId="0" fontId="6" fillId="7" borderId="1" xfId="0" applyFont="1" applyFill="1" applyBorder="1" applyAlignment="1">
      <alignment horizontal="left" vertical="center" wrapText="1"/>
    </xf>
    <xf numFmtId="0" fontId="23" fillId="16" borderId="1" xfId="0" applyFont="1" applyFill="1" applyBorder="1" applyAlignment="1">
      <alignment horizontal="center" vertical="center" wrapText="1"/>
    </xf>
    <xf numFmtId="0" fontId="7" fillId="16" borderId="1" xfId="0" applyFont="1" applyFill="1" applyBorder="1" applyAlignment="1">
      <alignment horizontal="left" vertical="center" wrapText="1"/>
    </xf>
    <xf numFmtId="9" fontId="24" fillId="16" borderId="1" xfId="0" applyNumberFormat="1" applyFont="1" applyFill="1" applyBorder="1" applyAlignment="1">
      <alignment horizontal="center" vertical="center" wrapText="1"/>
    </xf>
    <xf numFmtId="0" fontId="24" fillId="16"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7" fillId="14" borderId="1" xfId="0" applyFont="1" applyFill="1" applyBorder="1" applyAlignment="1">
      <alignment horizontal="left" vertical="center" wrapText="1"/>
    </xf>
    <xf numFmtId="9" fontId="24" fillId="14" borderId="1" xfId="0" applyNumberFormat="1"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3" fillId="15" borderId="1" xfId="0" applyFont="1" applyFill="1" applyBorder="1" applyAlignment="1">
      <alignment horizontal="center" vertical="center" wrapText="1"/>
    </xf>
    <xf numFmtId="0" fontId="7" fillId="15" borderId="1" xfId="0" applyFont="1" applyFill="1" applyBorder="1" applyAlignment="1">
      <alignment horizontal="left" vertical="center" wrapText="1"/>
    </xf>
    <xf numFmtId="9" fontId="24" fillId="15" borderId="1" xfId="0" applyNumberFormat="1" applyFont="1" applyFill="1" applyBorder="1" applyAlignment="1">
      <alignment horizontal="center" vertical="center" wrapText="1"/>
    </xf>
    <xf numFmtId="0" fontId="24" fillId="15" borderId="1" xfId="0" applyFont="1" applyFill="1" applyBorder="1" applyAlignment="1">
      <alignment horizontal="center" vertical="center" wrapText="1"/>
    </xf>
    <xf numFmtId="0" fontId="17" fillId="16" borderId="3" xfId="0" applyFont="1" applyFill="1" applyBorder="1" applyAlignment="1">
      <alignment horizontal="center" vertical="center" wrapText="1"/>
    </xf>
    <xf numFmtId="0" fontId="7" fillId="16" borderId="3" xfId="0" applyFont="1" applyFill="1" applyBorder="1" applyAlignment="1">
      <alignment horizontal="left" vertical="center" wrapText="1"/>
    </xf>
    <xf numFmtId="0" fontId="18" fillId="16" borderId="3" xfId="0" applyFont="1" applyFill="1" applyBorder="1" applyAlignment="1">
      <alignment horizontal="center" vertical="center" wrapText="1"/>
    </xf>
    <xf numFmtId="0" fontId="19" fillId="9" borderId="3" xfId="0" applyFont="1" applyFill="1" applyBorder="1" applyAlignment="1">
      <alignment horizontal="left" vertical="center" wrapText="1"/>
    </xf>
    <xf numFmtId="0" fontId="0" fillId="4" borderId="0" xfId="0" applyFill="1"/>
    <xf numFmtId="0" fontId="27" fillId="0" borderId="3"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EF9E7"/>
      <rgbColor rgb="FFFF00FF"/>
      <rgbColor rgb="FF00FFFF"/>
      <rgbColor rgb="FF800000"/>
      <rgbColor rgb="FF1D6A39"/>
      <rgbColor rgb="FF00008B"/>
      <rgbColor rgb="FF7D6608"/>
      <rgbColor rgb="FF800080"/>
      <rgbColor rgb="FF008080"/>
      <rgbColor rgb="FFB0B8C5"/>
      <rgbColor rgb="FF808080"/>
      <rgbColor rgb="FF9999FF"/>
      <rgbColor rgb="FFC0392B"/>
      <rgbColor rgb="FFFFFDE7"/>
      <rgbColor rgb="FFE8F4E8"/>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EAF0FB"/>
      <rgbColor rgb="FFD5F5E3"/>
      <rgbColor rgb="FFFDEBD0"/>
      <rgbColor rgb="FFF4ECF7"/>
      <rgbColor rgb="FFFDEDEC"/>
      <rgbColor rgb="FFF5F7FA"/>
      <rgbColor rgb="FFFADBD8"/>
      <rgbColor rgb="FF3366FF"/>
      <rgbColor rgb="FF33CCCC"/>
      <rgbColor rgb="FF99CC00"/>
      <rgbColor rgb="FFFFCC00"/>
      <rgbColor rgb="FFFF9900"/>
      <rgbColor rgb="FFE67E22"/>
      <rgbColor rgb="FF6B7280"/>
      <rgbColor rgb="FFC8A84B"/>
      <rgbColor rgb="FF1F3D6B"/>
      <rgbColor rgb="FF1E8449"/>
      <rgbColor rgb="FF003300"/>
      <rgbColor rgb="FF333300"/>
      <rgbColor rgb="FF7B241C"/>
      <rgbColor rgb="FF993366"/>
      <rgbColor rgb="FF1A5276"/>
      <rgbColor rgb="FF1B2A4A"/>
      <rgbColor rgb="00003366"/>
      <rgbColor rgb="00339966"/>
      <rgbColor rgb="00003300"/>
      <rgbColor rgb="00333300"/>
      <rgbColor rgb="00993300"/>
      <rgbColor rgb="00993366"/>
      <rgbColor rgb="00333399"/>
      <rgbColor rgb="00333333"/>
    </indexedColors>
    <mruColors>
      <color rgb="FF6B72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
  <sheetViews>
    <sheetView showGridLines="0" zoomScaleNormal="100" workbookViewId="0">
      <pane ySplit="7" topLeftCell="A8" activePane="bottomLeft" state="frozen"/>
      <selection pane="bottomLeft" activeCell="G24" sqref="G24:H24"/>
    </sheetView>
  </sheetViews>
  <sheetFormatPr defaultColWidth="8.6640625" defaultRowHeight="14.4" x14ac:dyDescent="0.3"/>
  <cols>
    <col min="1" max="1" width="5" customWidth="1"/>
    <col min="2" max="2" width="28" customWidth="1"/>
    <col min="3" max="3" width="30" customWidth="1"/>
    <col min="4" max="7" width="16" customWidth="1"/>
    <col min="8" max="8" width="18" customWidth="1"/>
  </cols>
  <sheetData>
    <row r="1" spans="1:8" ht="21.75" customHeight="1" x14ac:dyDescent="0.3">
      <c r="B1" s="13" t="s">
        <v>0</v>
      </c>
      <c r="C1" s="13"/>
      <c r="D1" s="13"/>
      <c r="E1" s="13"/>
      <c r="F1" s="13"/>
      <c r="G1" s="13"/>
      <c r="H1" s="13"/>
    </row>
    <row r="2" spans="1:8" ht="21.75" customHeight="1" x14ac:dyDescent="0.3">
      <c r="B2" s="12" t="s">
        <v>1</v>
      </c>
      <c r="C2" s="12"/>
      <c r="D2" s="12"/>
      <c r="E2" s="12"/>
      <c r="F2" s="12"/>
      <c r="G2" s="12"/>
      <c r="H2" s="12"/>
    </row>
    <row r="3" spans="1:8" ht="21.75" customHeight="1" x14ac:dyDescent="0.3">
      <c r="B3" s="11"/>
      <c r="C3" s="11"/>
      <c r="D3" s="11"/>
      <c r="E3" s="11"/>
      <c r="F3" s="11"/>
      <c r="G3" s="11"/>
      <c r="H3" s="11"/>
    </row>
    <row r="4" spans="1:8" ht="21.75" customHeight="1" x14ac:dyDescent="0.3">
      <c r="B4" s="10" t="s">
        <v>2</v>
      </c>
      <c r="C4" s="10"/>
      <c r="D4" s="10"/>
      <c r="E4" s="9" t="s">
        <v>3</v>
      </c>
      <c r="F4" s="9"/>
      <c r="G4" s="9"/>
      <c r="H4" s="9"/>
    </row>
    <row r="5" spans="1:8" ht="7.5" customHeight="1" x14ac:dyDescent="0.3">
      <c r="B5" s="15"/>
      <c r="C5" s="15"/>
      <c r="D5" s="15"/>
      <c r="E5" s="15"/>
      <c r="F5" s="15"/>
      <c r="G5" s="15"/>
      <c r="H5" s="15"/>
    </row>
    <row r="6" spans="1:8" ht="21.75" customHeight="1" x14ac:dyDescent="0.3"/>
    <row r="7" spans="1:8" ht="36" customHeight="1" x14ac:dyDescent="0.3">
      <c r="A7" s="16"/>
      <c r="B7" s="16" t="s">
        <v>4</v>
      </c>
      <c r="C7" s="16" t="s">
        <v>5</v>
      </c>
      <c r="D7" s="16" t="s">
        <v>6</v>
      </c>
      <c r="E7" s="16" t="s">
        <v>7</v>
      </c>
      <c r="F7" s="16" t="s">
        <v>8</v>
      </c>
      <c r="G7" s="16" t="s">
        <v>9</v>
      </c>
      <c r="H7" s="16" t="s">
        <v>10</v>
      </c>
    </row>
    <row r="8" spans="1:8" ht="19.5" customHeight="1" x14ac:dyDescent="0.3">
      <c r="A8" s="17"/>
      <c r="B8" s="18" t="s">
        <v>11</v>
      </c>
      <c r="C8" s="19" t="s">
        <v>12</v>
      </c>
      <c r="D8" s="20">
        <v>0.08</v>
      </c>
      <c r="E8" s="21">
        <v>2</v>
      </c>
      <c r="F8" s="22">
        <f t="shared" ref="F8:F21" si="0">D8*E8</f>
        <v>0.16</v>
      </c>
      <c r="G8" s="23">
        <f t="shared" ref="G8:G21" si="1">D8*5</f>
        <v>0.4</v>
      </c>
      <c r="H8" s="24" t="s">
        <v>13</v>
      </c>
    </row>
    <row r="9" spans="1:8" ht="19.5" customHeight="1" x14ac:dyDescent="0.3">
      <c r="A9" s="17"/>
      <c r="B9" s="18" t="s">
        <v>11</v>
      </c>
      <c r="C9" s="19" t="s">
        <v>14</v>
      </c>
      <c r="D9" s="20">
        <v>0.12</v>
      </c>
      <c r="E9" s="21">
        <v>1</v>
      </c>
      <c r="F9" s="22">
        <f t="shared" si="0"/>
        <v>0.12</v>
      </c>
      <c r="G9" s="23">
        <f t="shared" si="1"/>
        <v>0.6</v>
      </c>
      <c r="H9" s="24" t="s">
        <v>15</v>
      </c>
    </row>
    <row r="10" spans="1:8" ht="19.5" customHeight="1" x14ac:dyDescent="0.3">
      <c r="A10" s="17"/>
      <c r="B10" s="18" t="s">
        <v>11</v>
      </c>
      <c r="C10" s="19" t="s">
        <v>16</v>
      </c>
      <c r="D10" s="20">
        <v>0.08</v>
      </c>
      <c r="E10" s="21">
        <v>1</v>
      </c>
      <c r="F10" s="22">
        <f t="shared" si="0"/>
        <v>0.08</v>
      </c>
      <c r="G10" s="23">
        <f t="shared" si="1"/>
        <v>0.4</v>
      </c>
      <c r="H10" s="24" t="s">
        <v>17</v>
      </c>
    </row>
    <row r="11" spans="1:8" ht="19.5" customHeight="1" x14ac:dyDescent="0.3">
      <c r="A11" s="25"/>
      <c r="B11" s="26" t="s">
        <v>18</v>
      </c>
      <c r="C11" s="27" t="s">
        <v>19</v>
      </c>
      <c r="D11" s="20">
        <v>0.1</v>
      </c>
      <c r="E11" s="21">
        <v>2</v>
      </c>
      <c r="F11" s="22">
        <f t="shared" si="0"/>
        <v>0.2</v>
      </c>
      <c r="G11" s="23">
        <f t="shared" si="1"/>
        <v>0.5</v>
      </c>
      <c r="H11" s="28" t="s">
        <v>20</v>
      </c>
    </row>
    <row r="12" spans="1:8" ht="19.5" customHeight="1" x14ac:dyDescent="0.3">
      <c r="A12" s="25"/>
      <c r="B12" s="26" t="s">
        <v>18</v>
      </c>
      <c r="C12" s="27" t="s">
        <v>21</v>
      </c>
      <c r="D12" s="20">
        <v>0.08</v>
      </c>
      <c r="E12" s="21">
        <v>2</v>
      </c>
      <c r="F12" s="22">
        <f t="shared" si="0"/>
        <v>0.16</v>
      </c>
      <c r="G12" s="23">
        <f t="shared" si="1"/>
        <v>0.4</v>
      </c>
      <c r="H12" s="28" t="s">
        <v>22</v>
      </c>
    </row>
    <row r="13" spans="1:8" ht="19.5" customHeight="1" x14ac:dyDescent="0.3">
      <c r="A13" s="25"/>
      <c r="B13" s="26" t="s">
        <v>18</v>
      </c>
      <c r="C13" s="27" t="s">
        <v>23</v>
      </c>
      <c r="D13" s="20">
        <v>0.06</v>
      </c>
      <c r="E13" s="21">
        <v>2</v>
      </c>
      <c r="F13" s="22">
        <f t="shared" si="0"/>
        <v>0.12</v>
      </c>
      <c r="G13" s="23">
        <f t="shared" si="1"/>
        <v>0.3</v>
      </c>
      <c r="H13" s="28" t="s">
        <v>24</v>
      </c>
    </row>
    <row r="14" spans="1:8" ht="19.5" customHeight="1" x14ac:dyDescent="0.3">
      <c r="A14" s="29"/>
      <c r="B14" s="30" t="s">
        <v>25</v>
      </c>
      <c r="C14" s="31" t="s">
        <v>26</v>
      </c>
      <c r="D14" s="20">
        <v>0.08</v>
      </c>
      <c r="E14" s="21">
        <v>2</v>
      </c>
      <c r="F14" s="22">
        <f t="shared" si="0"/>
        <v>0.16</v>
      </c>
      <c r="G14" s="23">
        <f t="shared" si="1"/>
        <v>0.4</v>
      </c>
      <c r="H14" s="32" t="s">
        <v>27</v>
      </c>
    </row>
    <row r="15" spans="1:8" ht="19.5" customHeight="1" x14ac:dyDescent="0.3">
      <c r="A15" s="29"/>
      <c r="B15" s="30" t="s">
        <v>25</v>
      </c>
      <c r="C15" s="31" t="s">
        <v>28</v>
      </c>
      <c r="D15" s="20">
        <v>0.06</v>
      </c>
      <c r="E15" s="21">
        <v>1</v>
      </c>
      <c r="F15" s="22">
        <f t="shared" si="0"/>
        <v>0.06</v>
      </c>
      <c r="G15" s="23">
        <f t="shared" si="1"/>
        <v>0.3</v>
      </c>
      <c r="H15" s="32" t="s">
        <v>29</v>
      </c>
    </row>
    <row r="16" spans="1:8" ht="19.5" customHeight="1" x14ac:dyDescent="0.3">
      <c r="A16" s="33"/>
      <c r="B16" s="34" t="s">
        <v>30</v>
      </c>
      <c r="C16" s="35" t="s">
        <v>31</v>
      </c>
      <c r="D16" s="20">
        <v>0.08</v>
      </c>
      <c r="E16" s="21">
        <v>2</v>
      </c>
      <c r="F16" s="22">
        <f t="shared" si="0"/>
        <v>0.16</v>
      </c>
      <c r="G16" s="23">
        <f t="shared" si="1"/>
        <v>0.4</v>
      </c>
      <c r="H16" s="36" t="s">
        <v>32</v>
      </c>
    </row>
    <row r="17" spans="1:8" ht="19.5" customHeight="1" x14ac:dyDescent="0.3">
      <c r="A17" s="33"/>
      <c r="B17" s="34" t="s">
        <v>30</v>
      </c>
      <c r="C17" s="35" t="s">
        <v>33</v>
      </c>
      <c r="D17" s="20">
        <v>0.08</v>
      </c>
      <c r="E17" s="21">
        <v>1</v>
      </c>
      <c r="F17" s="22">
        <f t="shared" si="0"/>
        <v>0.08</v>
      </c>
      <c r="G17" s="23">
        <f t="shared" si="1"/>
        <v>0.4</v>
      </c>
      <c r="H17" s="36" t="s">
        <v>34</v>
      </c>
    </row>
    <row r="18" spans="1:8" ht="19.5" customHeight="1" x14ac:dyDescent="0.3">
      <c r="A18" s="33"/>
      <c r="B18" s="34" t="s">
        <v>30</v>
      </c>
      <c r="C18" s="35" t="s">
        <v>35</v>
      </c>
      <c r="D18" s="20">
        <v>0.06</v>
      </c>
      <c r="E18" s="21">
        <v>1</v>
      </c>
      <c r="F18" s="22">
        <f t="shared" si="0"/>
        <v>0.06</v>
      </c>
      <c r="G18" s="23">
        <f t="shared" si="1"/>
        <v>0.3</v>
      </c>
      <c r="H18" s="36" t="s">
        <v>36</v>
      </c>
    </row>
    <row r="19" spans="1:8" ht="19.5" customHeight="1" x14ac:dyDescent="0.3">
      <c r="A19" s="37"/>
      <c r="B19" s="38" t="s">
        <v>37</v>
      </c>
      <c r="C19" s="39" t="s">
        <v>38</v>
      </c>
      <c r="D19" s="20">
        <v>0.08</v>
      </c>
      <c r="E19" s="21">
        <v>2</v>
      </c>
      <c r="F19" s="22">
        <f t="shared" si="0"/>
        <v>0.16</v>
      </c>
      <c r="G19" s="23">
        <f t="shared" si="1"/>
        <v>0.4</v>
      </c>
      <c r="H19" s="40" t="s">
        <v>39</v>
      </c>
    </row>
    <row r="20" spans="1:8" ht="19.5" customHeight="1" x14ac:dyDescent="0.3">
      <c r="A20" s="37"/>
      <c r="B20" s="38" t="s">
        <v>37</v>
      </c>
      <c r="C20" s="39" t="s">
        <v>40</v>
      </c>
      <c r="D20" s="20">
        <v>0.08</v>
      </c>
      <c r="E20" s="21">
        <v>3</v>
      </c>
      <c r="F20" s="22">
        <f t="shared" si="0"/>
        <v>0.24</v>
      </c>
      <c r="G20" s="23">
        <f t="shared" si="1"/>
        <v>0.4</v>
      </c>
      <c r="H20" s="40" t="s">
        <v>41</v>
      </c>
    </row>
    <row r="21" spans="1:8" ht="19.5" customHeight="1" x14ac:dyDescent="0.3">
      <c r="A21" s="37"/>
      <c r="B21" s="38" t="s">
        <v>37</v>
      </c>
      <c r="C21" s="39" t="s">
        <v>42</v>
      </c>
      <c r="D21" s="20">
        <v>0.06</v>
      </c>
      <c r="E21" s="21">
        <v>2</v>
      </c>
      <c r="F21" s="22">
        <f t="shared" si="0"/>
        <v>0.12</v>
      </c>
      <c r="G21" s="23">
        <f t="shared" si="1"/>
        <v>0.3</v>
      </c>
      <c r="H21" s="40" t="s">
        <v>43</v>
      </c>
    </row>
    <row r="22" spans="1:8" ht="24" customHeight="1" x14ac:dyDescent="0.3">
      <c r="B22" s="8" t="s">
        <v>44</v>
      </c>
      <c r="C22" s="8"/>
      <c r="D22" s="8"/>
      <c r="E22" s="8"/>
      <c r="F22" s="41">
        <f>SUM(F8:F21)</f>
        <v>1.88</v>
      </c>
      <c r="G22" s="42">
        <f>SUM(G8:G21)</f>
        <v>5.5</v>
      </c>
      <c r="H22" s="14"/>
    </row>
    <row r="24" spans="1:8" ht="30" customHeight="1" x14ac:dyDescent="0.3">
      <c r="B24" s="7" t="s">
        <v>45</v>
      </c>
      <c r="C24" s="7"/>
      <c r="D24" s="7"/>
      <c r="E24" s="6" t="str">
        <f>IF(F22&lt;1,"LOW — Standard CDD",IF(F22&lt;2,"MEDIUM — Enhanced Monitoring",IF(F22&lt;3,"HIGH — Enhanced Due Diligence (EDD)","VERY HIGH — Reject / Senior Approval Required")))</f>
        <v>MEDIUM — Enhanced Monitoring</v>
      </c>
      <c r="F24" s="6"/>
      <c r="G24" s="83" t="s">
        <v>46</v>
      </c>
      <c r="H24" s="83"/>
    </row>
    <row r="26" spans="1:8" ht="15" customHeight="1" x14ac:dyDescent="0.3">
      <c r="B26" s="5" t="s">
        <v>47</v>
      </c>
      <c r="C26" s="5"/>
      <c r="D26" s="5"/>
      <c r="E26" s="5"/>
      <c r="F26" s="5"/>
      <c r="G26" s="5"/>
      <c r="H26" s="5"/>
    </row>
    <row r="27" spans="1:8" ht="18" customHeight="1" x14ac:dyDescent="0.3">
      <c r="B27" s="43" t="s">
        <v>48</v>
      </c>
      <c r="C27" s="4" t="s">
        <v>49</v>
      </c>
      <c r="D27" s="4"/>
      <c r="E27" s="3" t="s">
        <v>50</v>
      </c>
      <c r="F27" s="3"/>
      <c r="G27" s="3"/>
      <c r="H27" s="3"/>
    </row>
    <row r="28" spans="1:8" ht="18" customHeight="1" x14ac:dyDescent="0.3">
      <c r="B28" s="44" t="s">
        <v>51</v>
      </c>
      <c r="C28" s="2" t="s">
        <v>52</v>
      </c>
      <c r="D28" s="2"/>
      <c r="E28" s="1" t="s">
        <v>53</v>
      </c>
      <c r="F28" s="1"/>
      <c r="G28" s="1"/>
      <c r="H28" s="1"/>
    </row>
    <row r="29" spans="1:8" ht="18" customHeight="1" x14ac:dyDescent="0.3">
      <c r="B29" s="45" t="s">
        <v>54</v>
      </c>
      <c r="C29" s="78" t="s">
        <v>55</v>
      </c>
      <c r="D29" s="78"/>
      <c r="E29" s="79" t="s">
        <v>56</v>
      </c>
      <c r="F29" s="79"/>
      <c r="G29" s="79"/>
      <c r="H29" s="79"/>
    </row>
    <row r="30" spans="1:8" ht="18" customHeight="1" x14ac:dyDescent="0.3">
      <c r="B30" s="46" t="s">
        <v>57</v>
      </c>
      <c r="C30" s="80" t="s">
        <v>58</v>
      </c>
      <c r="D30" s="80"/>
      <c r="E30" s="79" t="s">
        <v>59</v>
      </c>
      <c r="F30" s="79"/>
      <c r="G30" s="79"/>
      <c r="H30" s="79"/>
    </row>
  </sheetData>
  <mergeCells count="18">
    <mergeCell ref="C30:D30"/>
    <mergeCell ref="E30:H30"/>
    <mergeCell ref="C27:D27"/>
    <mergeCell ref="E27:H27"/>
    <mergeCell ref="C28:D28"/>
    <mergeCell ref="E28:H28"/>
    <mergeCell ref="C29:D29"/>
    <mergeCell ref="E29:H29"/>
    <mergeCell ref="B22:E22"/>
    <mergeCell ref="B24:D24"/>
    <mergeCell ref="E24:F24"/>
    <mergeCell ref="G24:H24"/>
    <mergeCell ref="B26:H26"/>
    <mergeCell ref="B1:H1"/>
    <mergeCell ref="B2:H2"/>
    <mergeCell ref="B3:H3"/>
    <mergeCell ref="B4:D4"/>
    <mergeCell ref="E4:H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28"/>
  <sheetViews>
    <sheetView showGridLines="0" zoomScaleNormal="100" workbookViewId="0">
      <pane ySplit="8" topLeftCell="A9" activePane="bottomLeft" state="frozen"/>
      <selection pane="bottomLeft" activeCell="K19" sqref="K19"/>
    </sheetView>
  </sheetViews>
  <sheetFormatPr defaultColWidth="8.6640625" defaultRowHeight="14.4" x14ac:dyDescent="0.3"/>
  <cols>
    <col min="1" max="1" width="6" customWidth="1"/>
    <col min="2" max="2" width="15" customWidth="1"/>
    <col min="3" max="3" width="22" customWidth="1"/>
    <col min="4" max="4" width="16" customWidth="1"/>
    <col min="5" max="5" width="18" customWidth="1"/>
    <col min="6" max="7" width="15" customWidth="1"/>
    <col min="8" max="9" width="18" customWidth="1"/>
    <col min="10" max="10" width="22" customWidth="1"/>
    <col min="11" max="11" width="20" customWidth="1"/>
  </cols>
  <sheetData>
    <row r="1" spans="2:12" ht="21.75" customHeight="1" x14ac:dyDescent="0.3">
      <c r="B1" s="13" t="s">
        <v>60</v>
      </c>
      <c r="C1" s="13"/>
      <c r="D1" s="13"/>
      <c r="E1" s="13"/>
      <c r="F1" s="13"/>
      <c r="G1" s="13"/>
      <c r="H1" s="13"/>
      <c r="I1" s="13"/>
      <c r="J1" s="13"/>
      <c r="K1" s="13"/>
    </row>
    <row r="2" spans="2:12" ht="21.75" customHeight="1" x14ac:dyDescent="0.3">
      <c r="B2" s="12" t="s">
        <v>61</v>
      </c>
      <c r="C2" s="12"/>
      <c r="D2" s="12"/>
      <c r="E2" s="12"/>
      <c r="F2" s="12"/>
      <c r="G2" s="12"/>
      <c r="H2" s="12"/>
      <c r="I2" s="12"/>
      <c r="J2" s="12"/>
      <c r="K2" s="12"/>
    </row>
    <row r="3" spans="2:12" ht="3.75" customHeight="1" x14ac:dyDescent="0.3">
      <c r="B3" s="15"/>
    </row>
    <row r="5" spans="2:12" ht="18" customHeight="1" x14ac:dyDescent="0.3">
      <c r="B5" s="5" t="s">
        <v>62</v>
      </c>
      <c r="C5" s="5"/>
      <c r="D5" s="5"/>
      <c r="E5" s="5"/>
      <c r="F5" s="5"/>
      <c r="G5" s="5"/>
      <c r="H5" s="5"/>
      <c r="I5" s="5"/>
      <c r="J5" s="5"/>
      <c r="K5" s="5"/>
    </row>
    <row r="6" spans="2:12" ht="15.75" customHeight="1" x14ac:dyDescent="0.3">
      <c r="B6" s="47" t="s">
        <v>63</v>
      </c>
      <c r="C6" s="48" t="s">
        <v>64</v>
      </c>
      <c r="D6" s="81" t="s">
        <v>65</v>
      </c>
      <c r="E6" s="81"/>
      <c r="F6" s="81"/>
      <c r="G6" s="81"/>
      <c r="H6" s="81"/>
      <c r="I6" s="81"/>
      <c r="J6" s="81"/>
      <c r="K6" s="81"/>
    </row>
    <row r="7" spans="2:12" ht="15.75" customHeight="1" x14ac:dyDescent="0.3">
      <c r="B7" s="49" t="s">
        <v>66</v>
      </c>
      <c r="C7" s="50" t="s">
        <v>67</v>
      </c>
      <c r="D7" s="81" t="s">
        <v>68</v>
      </c>
      <c r="E7" s="81"/>
      <c r="F7" s="81"/>
      <c r="G7" s="81"/>
      <c r="H7" s="81"/>
      <c r="I7" s="81"/>
      <c r="J7" s="81"/>
      <c r="K7" s="81"/>
    </row>
    <row r="8" spans="2:12" ht="15.75" customHeight="1" x14ac:dyDescent="0.3">
      <c r="B8" s="51" t="s">
        <v>69</v>
      </c>
      <c r="C8" s="52" t="s">
        <v>70</v>
      </c>
      <c r="D8" s="81" t="s">
        <v>71</v>
      </c>
      <c r="E8" s="81"/>
      <c r="F8" s="81"/>
      <c r="G8" s="81"/>
      <c r="H8" s="81"/>
      <c r="I8" s="81"/>
      <c r="J8" s="81"/>
      <c r="K8" s="81"/>
    </row>
    <row r="9" spans="2:12" ht="15.75" customHeight="1" x14ac:dyDescent="0.3">
      <c r="B9" s="53" t="s">
        <v>72</v>
      </c>
      <c r="C9" s="54" t="s">
        <v>73</v>
      </c>
      <c r="D9" s="81" t="s">
        <v>74</v>
      </c>
      <c r="E9" s="81"/>
      <c r="F9" s="81"/>
      <c r="G9" s="81"/>
      <c r="H9" s="81"/>
      <c r="I9" s="81"/>
      <c r="J9" s="81"/>
      <c r="K9" s="81"/>
    </row>
    <row r="10" spans="2:12" ht="36" customHeight="1" x14ac:dyDescent="0.3">
      <c r="B10" s="16" t="s">
        <v>75</v>
      </c>
      <c r="C10" s="16" t="s">
        <v>76</v>
      </c>
      <c r="D10" s="16" t="s">
        <v>77</v>
      </c>
      <c r="E10" s="16" t="s">
        <v>78</v>
      </c>
      <c r="F10" s="16" t="s">
        <v>79</v>
      </c>
      <c r="G10" s="16" t="s">
        <v>80</v>
      </c>
      <c r="H10" s="16" t="s">
        <v>81</v>
      </c>
      <c r="I10" s="16" t="s">
        <v>82</v>
      </c>
      <c r="J10" s="16" t="s">
        <v>83</v>
      </c>
      <c r="K10" s="16" t="s">
        <v>84</v>
      </c>
      <c r="L10" s="16" t="s">
        <v>85</v>
      </c>
    </row>
    <row r="11" spans="2:12" ht="19.5" customHeight="1" x14ac:dyDescent="0.3">
      <c r="B11" s="55">
        <v>1</v>
      </c>
      <c r="C11" s="56" t="s">
        <v>86</v>
      </c>
      <c r="D11" s="56" t="s">
        <v>87</v>
      </c>
      <c r="E11" s="57" t="s">
        <v>88</v>
      </c>
      <c r="F11" s="56">
        <v>9500</v>
      </c>
      <c r="G11" s="56" t="s">
        <v>89</v>
      </c>
      <c r="H11" s="56" t="s">
        <v>90</v>
      </c>
      <c r="I11" s="58" t="str">
        <f>IF(AND(F11&gt;=8000,F11&lt;10000),"STRUCTURING",IF(F11&gt;50000,"HIGH VALUE",IF(MOD(F11,1000)=0,"ROUND AMOUNT","None")))</f>
        <v>STRUCTURING</v>
      </c>
      <c r="J11" s="59" t="str">
        <f>IF(I11="STRUCTURING","HIGH",IF(I11="HIGH VALUE","HIGH",IF(I11="ROUND AMOUNT","MEDIUM","LOW")))</f>
        <v>HIGH</v>
      </c>
      <c r="K11" s="60" t="s">
        <v>91</v>
      </c>
      <c r="L11" s="56" t="s">
        <v>226</v>
      </c>
    </row>
    <row r="12" spans="2:12" ht="19.5" customHeight="1" x14ac:dyDescent="0.3">
      <c r="B12" s="55">
        <v>2</v>
      </c>
      <c r="C12" s="61" t="s">
        <v>92</v>
      </c>
      <c r="D12" s="61" t="s">
        <v>93</v>
      </c>
      <c r="E12" s="57" t="s">
        <v>94</v>
      </c>
      <c r="F12" s="61">
        <v>75000</v>
      </c>
      <c r="G12" s="61" t="s">
        <v>95</v>
      </c>
      <c r="H12" s="61" t="s">
        <v>96</v>
      </c>
      <c r="I12" s="58" t="str">
        <f t="shared" ref="I12:I20" si="0">IF(AND(F12&gt;=8000,F12&lt;10000),"STRUCTURING",IF(F12&gt;50000,"HIGH VALUE",IF(MOD(F12,1000)=0,"ROUND AMOUNT","None")))</f>
        <v>HIGH VALUE</v>
      </c>
      <c r="J12" s="59" t="str">
        <f t="shared" ref="J12:J20" si="1">IF(I12="STRUCTURING","HIGH",IF(I12="HIGH VALUE","HIGH",IF(I12="ROUND AMOUNT","MEDIUM","LOW")))</f>
        <v>HIGH</v>
      </c>
      <c r="K12" s="60" t="s">
        <v>97</v>
      </c>
      <c r="L12" s="61" t="s">
        <v>227</v>
      </c>
    </row>
    <row r="13" spans="2:12" ht="19.5" customHeight="1" x14ac:dyDescent="0.3">
      <c r="B13" s="55">
        <v>3</v>
      </c>
      <c r="C13" s="56" t="s">
        <v>98</v>
      </c>
      <c r="D13" s="56" t="s">
        <v>99</v>
      </c>
      <c r="E13" s="57" t="s">
        <v>100</v>
      </c>
      <c r="F13" s="56">
        <v>10000</v>
      </c>
      <c r="G13" s="56" t="s">
        <v>101</v>
      </c>
      <c r="H13" s="56" t="s">
        <v>102</v>
      </c>
      <c r="I13" s="58" t="str">
        <f t="shared" si="0"/>
        <v>ROUND AMOUNT</v>
      </c>
      <c r="J13" s="59" t="str">
        <f t="shared" si="1"/>
        <v>MEDIUM</v>
      </c>
      <c r="K13" s="60" t="s">
        <v>103</v>
      </c>
      <c r="L13" s="56" t="s">
        <v>233</v>
      </c>
    </row>
    <row r="14" spans="2:12" ht="19.5" customHeight="1" x14ac:dyDescent="0.3">
      <c r="B14" s="55">
        <v>4</v>
      </c>
      <c r="C14" s="61" t="s">
        <v>104</v>
      </c>
      <c r="D14" s="61" t="s">
        <v>105</v>
      </c>
      <c r="E14" s="57" t="s">
        <v>106</v>
      </c>
      <c r="F14" s="61">
        <v>8999</v>
      </c>
      <c r="G14" s="61" t="s">
        <v>89</v>
      </c>
      <c r="H14" s="61" t="s">
        <v>90</v>
      </c>
      <c r="I14" s="58" t="str">
        <f t="shared" si="0"/>
        <v>STRUCTURING</v>
      </c>
      <c r="J14" s="59" t="str">
        <f t="shared" si="1"/>
        <v>HIGH</v>
      </c>
      <c r="K14" s="60" t="s">
        <v>91</v>
      </c>
      <c r="L14" s="61" t="s">
        <v>228</v>
      </c>
    </row>
    <row r="15" spans="2:12" ht="19.5" customHeight="1" x14ac:dyDescent="0.3">
      <c r="B15" s="55">
        <v>5</v>
      </c>
      <c r="C15" s="56" t="s">
        <v>107</v>
      </c>
      <c r="D15" s="56" t="s">
        <v>108</v>
      </c>
      <c r="E15" s="57" t="s">
        <v>109</v>
      </c>
      <c r="F15" s="56">
        <v>5000</v>
      </c>
      <c r="G15" s="56" t="s">
        <v>89</v>
      </c>
      <c r="H15" s="56" t="s">
        <v>90</v>
      </c>
      <c r="I15" s="58" t="str">
        <f t="shared" si="0"/>
        <v>ROUND AMOUNT</v>
      </c>
      <c r="J15" s="59" t="str">
        <f t="shared" si="1"/>
        <v>MEDIUM</v>
      </c>
      <c r="K15" s="60" t="s">
        <v>110</v>
      </c>
      <c r="L15" s="56" t="s">
        <v>234</v>
      </c>
    </row>
    <row r="16" spans="2:12" ht="19.5" customHeight="1" x14ac:dyDescent="0.3">
      <c r="B16" s="55">
        <v>6</v>
      </c>
      <c r="C16" s="61" t="s">
        <v>111</v>
      </c>
      <c r="D16" s="61" t="s">
        <v>112</v>
      </c>
      <c r="E16" s="57" t="s">
        <v>113</v>
      </c>
      <c r="F16" s="61">
        <v>9200</v>
      </c>
      <c r="G16" s="61" t="s">
        <v>89</v>
      </c>
      <c r="H16" s="61" t="s">
        <v>90</v>
      </c>
      <c r="I16" s="58" t="str">
        <f t="shared" si="0"/>
        <v>STRUCTURING</v>
      </c>
      <c r="J16" s="59" t="str">
        <f t="shared" si="1"/>
        <v>HIGH</v>
      </c>
      <c r="K16" s="60" t="s">
        <v>230</v>
      </c>
      <c r="L16" s="61" t="s">
        <v>229</v>
      </c>
    </row>
    <row r="17" spans="2:12" ht="19.5" customHeight="1" x14ac:dyDescent="0.3">
      <c r="B17" s="55">
        <v>7</v>
      </c>
      <c r="C17" s="56" t="s">
        <v>114</v>
      </c>
      <c r="D17" s="56" t="s">
        <v>115</v>
      </c>
      <c r="E17" s="57" t="s">
        <v>116</v>
      </c>
      <c r="F17" s="56">
        <v>200000</v>
      </c>
      <c r="G17" s="56" t="s">
        <v>95</v>
      </c>
      <c r="H17" s="56" t="s">
        <v>96</v>
      </c>
      <c r="I17" s="58" t="str">
        <f t="shared" si="0"/>
        <v>HIGH VALUE</v>
      </c>
      <c r="J17" s="59" t="str">
        <f t="shared" si="1"/>
        <v>HIGH</v>
      </c>
      <c r="K17" s="60" t="s">
        <v>231</v>
      </c>
      <c r="L17" s="56" t="s">
        <v>117</v>
      </c>
    </row>
    <row r="18" spans="2:12" ht="19.5" customHeight="1" x14ac:dyDescent="0.3">
      <c r="B18" s="55">
        <v>8</v>
      </c>
      <c r="C18" s="61" t="s">
        <v>118</v>
      </c>
      <c r="D18" s="61" t="s">
        <v>119</v>
      </c>
      <c r="E18" s="57" t="s">
        <v>120</v>
      </c>
      <c r="F18" s="61">
        <v>1500</v>
      </c>
      <c r="G18" s="61" t="s">
        <v>121</v>
      </c>
      <c r="H18" s="61" t="s">
        <v>96</v>
      </c>
      <c r="I18" s="58" t="str">
        <f t="shared" si="0"/>
        <v>None</v>
      </c>
      <c r="J18" s="59" t="str">
        <f t="shared" si="1"/>
        <v>LOW</v>
      </c>
      <c r="K18" s="60" t="s">
        <v>122</v>
      </c>
      <c r="L18" s="61" t="s">
        <v>236</v>
      </c>
    </row>
    <row r="19" spans="2:12" ht="19.5" customHeight="1" x14ac:dyDescent="0.3">
      <c r="B19" s="55">
        <v>9</v>
      </c>
      <c r="C19" s="56" t="s">
        <v>123</v>
      </c>
      <c r="D19" s="56" t="s">
        <v>124</v>
      </c>
      <c r="E19" s="57" t="s">
        <v>125</v>
      </c>
      <c r="F19" s="56">
        <v>9100</v>
      </c>
      <c r="G19" s="56" t="s">
        <v>89</v>
      </c>
      <c r="H19" s="56" t="s">
        <v>90</v>
      </c>
      <c r="I19" s="58" t="str">
        <f t="shared" si="0"/>
        <v>STRUCTURING</v>
      </c>
      <c r="J19" s="59" t="str">
        <f t="shared" si="1"/>
        <v>HIGH</v>
      </c>
      <c r="K19" s="60" t="s">
        <v>91</v>
      </c>
      <c r="L19" s="56" t="s">
        <v>232</v>
      </c>
    </row>
    <row r="20" spans="2:12" ht="19.5" customHeight="1" x14ac:dyDescent="0.3">
      <c r="B20" s="55">
        <v>10</v>
      </c>
      <c r="C20" s="61" t="s">
        <v>126</v>
      </c>
      <c r="D20" s="61" t="s">
        <v>127</v>
      </c>
      <c r="E20" s="57" t="s">
        <v>128</v>
      </c>
      <c r="F20" s="61">
        <v>15000</v>
      </c>
      <c r="G20" s="61" t="s">
        <v>89</v>
      </c>
      <c r="H20" s="61" t="s">
        <v>90</v>
      </c>
      <c r="I20" s="58" t="str">
        <f t="shared" si="0"/>
        <v>ROUND AMOUNT</v>
      </c>
      <c r="J20" s="59" t="str">
        <f t="shared" si="1"/>
        <v>MEDIUM</v>
      </c>
      <c r="K20" s="60" t="s">
        <v>97</v>
      </c>
      <c r="L20" s="61" t="s">
        <v>235</v>
      </c>
    </row>
    <row r="22" spans="2:12" ht="7.5" customHeight="1" x14ac:dyDescent="0.3">
      <c r="B22" s="82"/>
      <c r="C22" s="82"/>
      <c r="D22" s="82"/>
      <c r="E22" s="82"/>
      <c r="F22" s="82"/>
      <c r="G22" s="82"/>
      <c r="H22" s="82"/>
      <c r="I22" s="82"/>
      <c r="J22" s="82"/>
      <c r="K22" s="82"/>
    </row>
    <row r="23" spans="2:12" ht="18" customHeight="1" x14ac:dyDescent="0.3">
      <c r="B23" s="62" t="s">
        <v>129</v>
      </c>
      <c r="C23" s="63">
        <f>COUNTA(C11:C20)</f>
        <v>10</v>
      </c>
    </row>
    <row r="24" spans="2:12" ht="18" customHeight="1" x14ac:dyDescent="0.3">
      <c r="B24" s="62" t="s">
        <v>130</v>
      </c>
      <c r="C24" s="63">
        <f>COUNTIF(H11:H20,"&lt;&gt;None")</f>
        <v>10</v>
      </c>
    </row>
    <row r="25" spans="2:12" ht="18" customHeight="1" x14ac:dyDescent="0.3">
      <c r="B25" s="62" t="s">
        <v>131</v>
      </c>
      <c r="C25" s="63">
        <f>COUNTIF(K11:K20,"SAR Filed*")</f>
        <v>4</v>
      </c>
    </row>
    <row r="26" spans="2:12" ht="18" customHeight="1" x14ac:dyDescent="0.3">
      <c r="B26" s="62" t="s">
        <v>132</v>
      </c>
      <c r="C26" s="63">
        <f>COUNTIF(K11:K20,"Closed — False*")</f>
        <v>1</v>
      </c>
    </row>
    <row r="27" spans="2:12" ht="18" customHeight="1" x14ac:dyDescent="0.3">
      <c r="B27" s="62" t="s">
        <v>133</v>
      </c>
      <c r="C27" s="63">
        <f>COUNTIF(K11:K20,"Under Review")</f>
        <v>1</v>
      </c>
    </row>
    <row r="28" spans="2:12" ht="18" customHeight="1" x14ac:dyDescent="0.3">
      <c r="B28" s="62" t="s">
        <v>134</v>
      </c>
      <c r="C28" s="64">
        <f>IFERROR(COUNTIF(K11:K20,"SAR Filed*")/COUNTA(C11:C20),0)</f>
        <v>0.4</v>
      </c>
    </row>
  </sheetData>
  <mergeCells count="8">
    <mergeCell ref="D8:K8"/>
    <mergeCell ref="D9:K9"/>
    <mergeCell ref="B22:K22"/>
    <mergeCell ref="B1:K1"/>
    <mergeCell ref="B2:K2"/>
    <mergeCell ref="B5:K5"/>
    <mergeCell ref="D6:K6"/>
    <mergeCell ref="D7:K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28"/>
  <sheetViews>
    <sheetView showGridLines="0" tabSelected="1" zoomScaleNormal="100" workbookViewId="0">
      <pane ySplit="8" topLeftCell="A18" activePane="bottomLeft" state="frozen"/>
      <selection pane="bottomLeft" activeCell="C27" sqref="C27"/>
    </sheetView>
  </sheetViews>
  <sheetFormatPr defaultColWidth="8.6640625" defaultRowHeight="14.4" x14ac:dyDescent="0.3"/>
  <cols>
    <col min="1" max="1" width="5" customWidth="1"/>
    <col min="2" max="2" width="20" customWidth="1"/>
    <col min="3" max="3" width="22" customWidth="1"/>
    <col min="4" max="4" width="16" customWidth="1"/>
    <col min="5" max="5" width="18" customWidth="1"/>
    <col min="6" max="7" width="14" customWidth="1"/>
    <col min="8" max="8" width="20" customWidth="1"/>
    <col min="9" max="9" width="22" customWidth="1"/>
    <col min="10" max="10" width="20" customWidth="1"/>
    <col min="11" max="11" width="22" customWidth="1"/>
  </cols>
  <sheetData>
    <row r="1" spans="2:12" ht="19.649999999999999" customHeight="1" x14ac:dyDescent="0.3">
      <c r="B1" s="13" t="s">
        <v>135</v>
      </c>
      <c r="C1" s="13"/>
      <c r="D1" s="13"/>
      <c r="E1" s="13"/>
      <c r="F1" s="13"/>
      <c r="G1" s="13"/>
      <c r="H1" s="13"/>
      <c r="I1" s="13"/>
      <c r="J1" s="13"/>
      <c r="K1" s="13"/>
    </row>
    <row r="2" spans="2:12" ht="15" customHeight="1" x14ac:dyDescent="0.3">
      <c r="B2" s="12" t="s">
        <v>136</v>
      </c>
      <c r="C2" s="12"/>
      <c r="D2" s="12"/>
      <c r="E2" s="12"/>
      <c r="F2" s="12"/>
      <c r="G2" s="12"/>
      <c r="H2" s="12"/>
      <c r="I2" s="12"/>
      <c r="J2" s="12"/>
      <c r="K2" s="12"/>
    </row>
    <row r="3" spans="2:12" ht="3.75" customHeight="1" x14ac:dyDescent="0.3">
      <c r="B3" s="82"/>
      <c r="C3" s="82"/>
      <c r="D3" s="82"/>
      <c r="E3" s="82"/>
      <c r="F3" s="82"/>
      <c r="G3" s="82"/>
      <c r="H3" s="82"/>
      <c r="I3" s="82"/>
      <c r="J3" s="82"/>
      <c r="K3" s="82"/>
    </row>
    <row r="5" spans="2:12" ht="15" customHeight="1" x14ac:dyDescent="0.3">
      <c r="B5" s="5" t="s">
        <v>137</v>
      </c>
      <c r="C5" s="5"/>
      <c r="D5" s="5"/>
      <c r="E5" s="5"/>
      <c r="F5" s="5"/>
      <c r="G5" s="5"/>
      <c r="H5" s="5"/>
      <c r="I5" s="5"/>
      <c r="J5" s="5"/>
      <c r="K5" s="5"/>
    </row>
    <row r="6" spans="2:12" ht="15.75" customHeight="1" x14ac:dyDescent="0.3">
      <c r="B6" s="65" t="s">
        <v>138</v>
      </c>
      <c r="C6" s="81" t="s">
        <v>237</v>
      </c>
      <c r="D6" s="81"/>
      <c r="E6" s="81"/>
      <c r="F6" s="81"/>
      <c r="G6" s="81"/>
      <c r="H6" s="81"/>
      <c r="I6" s="81"/>
      <c r="J6" s="81"/>
      <c r="K6" s="81"/>
    </row>
    <row r="7" spans="2:12" ht="15.75" customHeight="1" x14ac:dyDescent="0.3">
      <c r="B7" s="65" t="s">
        <v>139</v>
      </c>
      <c r="C7" s="81" t="s">
        <v>140</v>
      </c>
      <c r="D7" s="81"/>
      <c r="E7" s="81"/>
      <c r="F7" s="81"/>
      <c r="G7" s="81"/>
      <c r="H7" s="81"/>
      <c r="I7" s="81"/>
      <c r="J7" s="81"/>
      <c r="K7" s="81"/>
    </row>
    <row r="8" spans="2:12" ht="15.75" customHeight="1" x14ac:dyDescent="0.3">
      <c r="B8" s="65" t="s">
        <v>141</v>
      </c>
      <c r="C8" s="81" t="s">
        <v>142</v>
      </c>
      <c r="D8" s="81"/>
      <c r="E8" s="81"/>
      <c r="F8" s="81"/>
      <c r="G8" s="81"/>
      <c r="H8" s="81"/>
      <c r="I8" s="81"/>
      <c r="J8" s="81"/>
      <c r="K8" s="81"/>
    </row>
    <row r="9" spans="2:12" ht="15.75" customHeight="1" x14ac:dyDescent="0.3">
      <c r="B9" s="65" t="s">
        <v>143</v>
      </c>
      <c r="C9" s="81" t="s">
        <v>144</v>
      </c>
      <c r="D9" s="81"/>
      <c r="E9" s="81"/>
      <c r="F9" s="81"/>
      <c r="G9" s="81"/>
      <c r="H9" s="81"/>
      <c r="I9" s="81"/>
      <c r="J9" s="81"/>
      <c r="K9" s="81"/>
    </row>
    <row r="10" spans="2:12" ht="36" customHeight="1" x14ac:dyDescent="0.3">
      <c r="B10" s="16" t="s">
        <v>75</v>
      </c>
      <c r="C10" s="16" t="s">
        <v>77</v>
      </c>
      <c r="D10" s="16" t="s">
        <v>145</v>
      </c>
      <c r="E10" s="16" t="s">
        <v>146</v>
      </c>
      <c r="F10" s="16" t="s">
        <v>147</v>
      </c>
      <c r="G10" s="16" t="s">
        <v>148</v>
      </c>
      <c r="H10" s="16" t="s">
        <v>149</v>
      </c>
      <c r="I10" s="16" t="s">
        <v>150</v>
      </c>
      <c r="J10" s="16" t="s">
        <v>151</v>
      </c>
      <c r="K10" s="16" t="s">
        <v>152</v>
      </c>
      <c r="L10" s="16" t="s">
        <v>153</v>
      </c>
    </row>
    <row r="11" spans="2:12" ht="21.75" customHeight="1" x14ac:dyDescent="0.3">
      <c r="B11" s="66">
        <v>1</v>
      </c>
      <c r="C11" s="67" t="s">
        <v>154</v>
      </c>
      <c r="D11" s="67" t="s">
        <v>155</v>
      </c>
      <c r="E11" s="67" t="s">
        <v>156</v>
      </c>
      <c r="F11" s="67" t="s">
        <v>157</v>
      </c>
      <c r="G11" s="67" t="s">
        <v>158</v>
      </c>
      <c r="H11" s="68">
        <v>0.95</v>
      </c>
      <c r="I11" s="69" t="s">
        <v>159</v>
      </c>
      <c r="J11" s="67" t="s">
        <v>160</v>
      </c>
      <c r="K11" s="67" t="s">
        <v>161</v>
      </c>
      <c r="L11" s="67" t="s">
        <v>162</v>
      </c>
    </row>
    <row r="12" spans="2:12" ht="21.75" customHeight="1" x14ac:dyDescent="0.3">
      <c r="B12" s="70">
        <v>2</v>
      </c>
      <c r="C12" s="71" t="s">
        <v>87</v>
      </c>
      <c r="D12" s="71" t="s">
        <v>163</v>
      </c>
      <c r="E12" s="71" t="s">
        <v>164</v>
      </c>
      <c r="F12" s="71" t="s">
        <v>165</v>
      </c>
      <c r="G12" s="71" t="s">
        <v>166</v>
      </c>
      <c r="H12" s="72">
        <v>0.62</v>
      </c>
      <c r="I12" s="73" t="s">
        <v>167</v>
      </c>
      <c r="J12" s="71" t="s">
        <v>168</v>
      </c>
      <c r="K12" s="71" t="s">
        <v>169</v>
      </c>
      <c r="L12" s="71" t="s">
        <v>170</v>
      </c>
    </row>
    <row r="13" spans="2:12" ht="21.75" customHeight="1" x14ac:dyDescent="0.3">
      <c r="B13" s="74">
        <v>3</v>
      </c>
      <c r="C13" s="75" t="s">
        <v>171</v>
      </c>
      <c r="D13" s="75" t="s">
        <v>172</v>
      </c>
      <c r="E13" s="75" t="s">
        <v>173</v>
      </c>
      <c r="F13" s="75" t="s">
        <v>174</v>
      </c>
      <c r="G13" s="75" t="s">
        <v>175</v>
      </c>
      <c r="H13" s="76">
        <v>0.88</v>
      </c>
      <c r="I13" s="77" t="s">
        <v>176</v>
      </c>
      <c r="J13" s="75" t="s">
        <v>177</v>
      </c>
      <c r="K13" s="75" t="s">
        <v>178</v>
      </c>
      <c r="L13" s="75" t="s">
        <v>179</v>
      </c>
    </row>
    <row r="14" spans="2:12" ht="21.75" customHeight="1" x14ac:dyDescent="0.3">
      <c r="B14" s="70">
        <v>4</v>
      </c>
      <c r="C14" s="71" t="s">
        <v>124</v>
      </c>
      <c r="D14" s="71" t="s">
        <v>180</v>
      </c>
      <c r="E14" s="71" t="s">
        <v>181</v>
      </c>
      <c r="F14" s="71" t="s">
        <v>124</v>
      </c>
      <c r="G14" s="71" t="s">
        <v>182</v>
      </c>
      <c r="H14" s="72">
        <v>0.45</v>
      </c>
      <c r="I14" s="73" t="s">
        <v>183</v>
      </c>
      <c r="J14" s="71" t="s">
        <v>168</v>
      </c>
      <c r="K14" s="71" t="s">
        <v>184</v>
      </c>
      <c r="L14" s="71" t="s">
        <v>185</v>
      </c>
    </row>
    <row r="15" spans="2:12" ht="21.75" customHeight="1" x14ac:dyDescent="0.3">
      <c r="B15" s="74">
        <v>5</v>
      </c>
      <c r="C15" s="75" t="s">
        <v>186</v>
      </c>
      <c r="D15" s="75" t="s">
        <v>187</v>
      </c>
      <c r="E15" s="75" t="s">
        <v>188</v>
      </c>
      <c r="F15" s="75" t="s">
        <v>189</v>
      </c>
      <c r="G15" s="75" t="s">
        <v>175</v>
      </c>
      <c r="H15" s="76">
        <v>0.7</v>
      </c>
      <c r="I15" s="77" t="s">
        <v>167</v>
      </c>
      <c r="J15" s="75" t="s">
        <v>177</v>
      </c>
      <c r="K15" s="75" t="s">
        <v>190</v>
      </c>
      <c r="L15" s="75" t="s">
        <v>191</v>
      </c>
    </row>
    <row r="16" spans="2:12" ht="21.75" customHeight="1" x14ac:dyDescent="0.3">
      <c r="B16" s="66">
        <v>6</v>
      </c>
      <c r="C16" s="67" t="s">
        <v>127</v>
      </c>
      <c r="D16" s="67" t="s">
        <v>192</v>
      </c>
      <c r="E16" s="67" t="s">
        <v>193</v>
      </c>
      <c r="F16" s="67" t="s">
        <v>194</v>
      </c>
      <c r="G16" s="67" t="s">
        <v>166</v>
      </c>
      <c r="H16" s="68">
        <v>0.91</v>
      </c>
      <c r="I16" s="69" t="s">
        <v>195</v>
      </c>
      <c r="J16" s="67" t="s">
        <v>160</v>
      </c>
      <c r="K16" s="67" t="s">
        <v>196</v>
      </c>
      <c r="L16" s="67" t="s">
        <v>197</v>
      </c>
    </row>
    <row r="17" spans="2:12" ht="21.75" customHeight="1" x14ac:dyDescent="0.3">
      <c r="B17" s="70">
        <v>7</v>
      </c>
      <c r="C17" s="71" t="s">
        <v>198</v>
      </c>
      <c r="D17" s="71" t="s">
        <v>199</v>
      </c>
      <c r="E17" s="71" t="s">
        <v>173</v>
      </c>
      <c r="F17" s="71" t="s">
        <v>200</v>
      </c>
      <c r="G17" s="71" t="s">
        <v>166</v>
      </c>
      <c r="H17" s="72">
        <v>0.57999999999999996</v>
      </c>
      <c r="I17" s="73" t="s">
        <v>201</v>
      </c>
      <c r="J17" s="71" t="s">
        <v>168</v>
      </c>
      <c r="K17" s="71" t="s">
        <v>202</v>
      </c>
      <c r="L17" s="71" t="s">
        <v>203</v>
      </c>
    </row>
    <row r="18" spans="2:12" ht="21.75" customHeight="1" x14ac:dyDescent="0.3">
      <c r="B18" s="70">
        <v>8</v>
      </c>
      <c r="C18" s="71" t="s">
        <v>204</v>
      </c>
      <c r="D18" s="71" t="s">
        <v>205</v>
      </c>
      <c r="E18" s="71" t="s">
        <v>206</v>
      </c>
      <c r="F18" s="71" t="s">
        <v>204</v>
      </c>
      <c r="G18" s="71" t="s">
        <v>207</v>
      </c>
      <c r="H18" s="72">
        <v>0.5</v>
      </c>
      <c r="I18" s="73" t="s">
        <v>201</v>
      </c>
      <c r="J18" s="71" t="s">
        <v>168</v>
      </c>
      <c r="K18" s="71" t="s">
        <v>208</v>
      </c>
      <c r="L18" s="71" t="s">
        <v>209</v>
      </c>
    </row>
    <row r="19" spans="2:12" ht="21.75" customHeight="1" x14ac:dyDescent="0.3">
      <c r="B19" s="74">
        <v>9</v>
      </c>
      <c r="C19" s="75" t="s">
        <v>210</v>
      </c>
      <c r="D19" s="75" t="s">
        <v>211</v>
      </c>
      <c r="E19" s="75" t="s">
        <v>212</v>
      </c>
      <c r="F19" s="75" t="s">
        <v>210</v>
      </c>
      <c r="G19" s="75" t="s">
        <v>166</v>
      </c>
      <c r="H19" s="76">
        <v>0.84</v>
      </c>
      <c r="I19" s="77" t="s">
        <v>213</v>
      </c>
      <c r="J19" s="75" t="s">
        <v>177</v>
      </c>
      <c r="K19" s="75" t="s">
        <v>214</v>
      </c>
      <c r="L19" s="75" t="s">
        <v>215</v>
      </c>
    </row>
    <row r="20" spans="2:12" ht="21.75" customHeight="1" x14ac:dyDescent="0.3">
      <c r="B20" s="70">
        <v>10</v>
      </c>
      <c r="C20" s="71" t="s">
        <v>216</v>
      </c>
      <c r="D20" s="71" t="s">
        <v>217</v>
      </c>
      <c r="E20" s="71" t="s">
        <v>181</v>
      </c>
      <c r="F20" s="71" t="s">
        <v>216</v>
      </c>
      <c r="G20" s="71" t="s">
        <v>182</v>
      </c>
      <c r="H20" s="72">
        <v>0.48</v>
      </c>
      <c r="I20" s="73" t="s">
        <v>183</v>
      </c>
      <c r="J20" s="71" t="s">
        <v>168</v>
      </c>
      <c r="K20" s="71" t="s">
        <v>218</v>
      </c>
      <c r="L20" s="71" t="s">
        <v>219</v>
      </c>
    </row>
    <row r="22" spans="2:12" ht="7.5" customHeight="1" x14ac:dyDescent="0.3">
      <c r="B22" s="82"/>
      <c r="C22" s="82"/>
      <c r="D22" s="82"/>
      <c r="E22" s="82"/>
      <c r="F22" s="82"/>
      <c r="G22" s="82"/>
      <c r="H22" s="82"/>
      <c r="I22" s="82"/>
      <c r="J22" s="82"/>
      <c r="K22" s="82"/>
    </row>
    <row r="23" spans="2:12" ht="18" customHeight="1" x14ac:dyDescent="0.3">
      <c r="B23" s="62" t="s">
        <v>220</v>
      </c>
      <c r="C23" s="63">
        <f>COUNTA(C11:C20)</f>
        <v>10</v>
      </c>
    </row>
    <row r="24" spans="2:12" ht="18" customHeight="1" x14ac:dyDescent="0.3">
      <c r="B24" s="62" t="s">
        <v>221</v>
      </c>
      <c r="C24" s="63">
        <f>COUNTIF(J11:J20,"TRUE MATCH")</f>
        <v>2</v>
      </c>
    </row>
    <row r="25" spans="2:12" ht="18" customHeight="1" x14ac:dyDescent="0.3">
      <c r="B25" s="62" t="s">
        <v>222</v>
      </c>
      <c r="C25" s="63">
        <f>COUNTIF(J11:J20,"POSSIBLE MATCH")</f>
        <v>3</v>
      </c>
    </row>
    <row r="26" spans="2:12" ht="18" customHeight="1" x14ac:dyDescent="0.3">
      <c r="B26" s="62" t="s">
        <v>223</v>
      </c>
      <c r="C26" s="63">
        <f>COUNTIF(J11:J20,"FALSE POSITIVE")</f>
        <v>5</v>
      </c>
    </row>
    <row r="27" spans="2:12" ht="18" customHeight="1" x14ac:dyDescent="0.3">
      <c r="B27" s="62" t="s">
        <v>224</v>
      </c>
      <c r="C27" s="64">
        <f>IFERROR(COUNTIF(J11:J20,"FALSE POSITIVE")/COUNTA(C11:C20),0)</f>
        <v>0.5</v>
      </c>
    </row>
    <row r="28" spans="2:12" ht="18" customHeight="1" x14ac:dyDescent="0.3">
      <c r="B28" s="62" t="s">
        <v>225</v>
      </c>
      <c r="C28" s="64">
        <f>AVERAGE(H11:H20)</f>
        <v>0.69100000000000006</v>
      </c>
    </row>
  </sheetData>
  <mergeCells count="9">
    <mergeCell ref="C7:K7"/>
    <mergeCell ref="C8:K8"/>
    <mergeCell ref="C9:K9"/>
    <mergeCell ref="B22:K22"/>
    <mergeCell ref="B1:K1"/>
    <mergeCell ref="B2:K2"/>
    <mergeCell ref="B3:K3"/>
    <mergeCell ref="B5:K5"/>
    <mergeCell ref="C6:K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KYC Risk Scoring</vt:lpstr>
      <vt:lpstr>AML Transaction Monitoring</vt:lpstr>
      <vt:lpstr>Sanctions &amp; PEP 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0</cp:revision>
  <dcterms:created xsi:type="dcterms:W3CDTF">2026-03-11T20:31:19Z</dcterms:created>
  <dcterms:modified xsi:type="dcterms:W3CDTF">2026-03-13T18:06:49Z</dcterms:modified>
  <dc:language>en-US</dc:language>
</cp:coreProperties>
</file>